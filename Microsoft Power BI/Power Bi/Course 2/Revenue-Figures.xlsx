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A9EC7BAD-B7F8-407B-8835-01FD570FEA33}" xr6:coauthVersionLast="47" xr6:coauthVersionMax="47" xr10:uidLastSave="{00000000-0000-0000-0000-000000000000}"/>
  <bookViews>
    <workbookView xWindow="14295" yWindow="0" windowWidth="14610" windowHeight="15585" xr2:uid="{B653257C-2690-4B6F-AF51-C145C2D6B17F}"/>
  </bookViews>
  <sheets>
    <sheet name="Jan-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J5" i="1"/>
  <c r="J6" i="1"/>
  <c r="J7" i="1"/>
  <c r="J8" i="1"/>
  <c r="J9" i="1"/>
  <c r="J10" i="1"/>
  <c r="J11" i="1"/>
  <c r="J12" i="1"/>
  <c r="J13" i="1"/>
  <c r="J14" i="1"/>
  <c r="J15" i="1"/>
  <c r="L15" i="1" s="1"/>
  <c r="M15" i="1" s="1"/>
  <c r="J16" i="1"/>
  <c r="L16" i="1" s="1"/>
  <c r="M16" i="1" s="1"/>
  <c r="J17" i="1"/>
  <c r="J18" i="1"/>
  <c r="J19" i="1"/>
  <c r="J20" i="1"/>
  <c r="J21" i="1"/>
  <c r="J22" i="1"/>
  <c r="J23" i="1"/>
  <c r="J24" i="1"/>
  <c r="J25" i="1"/>
  <c r="J26" i="1"/>
  <c r="J27" i="1"/>
  <c r="L27" i="1" s="1"/>
  <c r="M27" i="1" s="1"/>
  <c r="J28" i="1"/>
  <c r="L28" i="1" s="1"/>
  <c r="M28" i="1" s="1"/>
  <c r="J29" i="1"/>
  <c r="J30" i="1"/>
  <c r="J31" i="1"/>
  <c r="J32" i="1"/>
  <c r="J33" i="1"/>
  <c r="J34" i="1"/>
  <c r="J35" i="1"/>
  <c r="J36" i="1"/>
  <c r="J37" i="1"/>
  <c r="J38" i="1"/>
  <c r="J39" i="1"/>
  <c r="L39" i="1" s="1"/>
  <c r="M39" i="1" s="1"/>
  <c r="J40" i="1"/>
  <c r="L40" i="1" s="1"/>
  <c r="M40" i="1" s="1"/>
  <c r="J41" i="1"/>
  <c r="J42" i="1"/>
  <c r="J43" i="1"/>
  <c r="J44" i="1"/>
  <c r="J45" i="1"/>
  <c r="J46" i="1"/>
  <c r="J47" i="1"/>
  <c r="J48" i="1"/>
  <c r="J49" i="1"/>
  <c r="J50" i="1"/>
  <c r="J51" i="1"/>
  <c r="L51" i="1" s="1"/>
  <c r="M51" i="1" s="1"/>
  <c r="J52" i="1"/>
  <c r="L52" i="1" s="1"/>
  <c r="M52" i="1" s="1"/>
  <c r="J53" i="1"/>
  <c r="J54" i="1"/>
  <c r="J55" i="1"/>
  <c r="J56" i="1"/>
  <c r="J57" i="1"/>
  <c r="J58" i="1"/>
  <c r="J59" i="1"/>
  <c r="J60" i="1"/>
  <c r="J61" i="1"/>
  <c r="J62" i="1"/>
  <c r="J63" i="1"/>
  <c r="L63" i="1" s="1"/>
  <c r="M63" i="1" s="1"/>
  <c r="J64" i="1"/>
  <c r="L64" i="1" s="1"/>
  <c r="M64" i="1" s="1"/>
  <c r="J65" i="1"/>
  <c r="J66" i="1"/>
  <c r="J67" i="1"/>
  <c r="J68" i="1"/>
  <c r="J69" i="1"/>
  <c r="J70" i="1"/>
  <c r="J71" i="1"/>
  <c r="J72" i="1"/>
  <c r="J73" i="1"/>
  <c r="J74" i="1"/>
  <c r="J75" i="1"/>
  <c r="L75" i="1" s="1"/>
  <c r="M75" i="1" s="1"/>
  <c r="J76" i="1"/>
  <c r="L76" i="1" s="1"/>
  <c r="M76" i="1" s="1"/>
  <c r="J77" i="1"/>
  <c r="J78" i="1"/>
  <c r="J79" i="1"/>
  <c r="J80" i="1"/>
  <c r="J81" i="1"/>
  <c r="J82" i="1"/>
  <c r="J83" i="1"/>
  <c r="J84" i="1"/>
  <c r="J85" i="1"/>
  <c r="J86" i="1"/>
  <c r="J87" i="1"/>
  <c r="L87" i="1" s="1"/>
  <c r="M87" i="1" s="1"/>
  <c r="J88" i="1"/>
  <c r="L88" i="1" s="1"/>
  <c r="M88" i="1" s="1"/>
  <c r="J89" i="1"/>
  <c r="J90" i="1"/>
  <c r="J91" i="1"/>
  <c r="J92" i="1"/>
  <c r="J93" i="1"/>
  <c r="J94" i="1"/>
  <c r="J95" i="1"/>
  <c r="J96" i="1"/>
  <c r="J97" i="1"/>
  <c r="J98" i="1"/>
  <c r="J99" i="1"/>
  <c r="J100" i="1"/>
  <c r="L100" i="1" s="1"/>
  <c r="M100" i="1" s="1"/>
  <c r="J101" i="1"/>
  <c r="J102" i="1"/>
  <c r="J103" i="1"/>
  <c r="J104" i="1"/>
  <c r="J105" i="1"/>
  <c r="J106" i="1"/>
  <c r="J107" i="1"/>
  <c r="J108" i="1"/>
  <c r="J109" i="1"/>
  <c r="J110" i="1"/>
  <c r="J111" i="1"/>
  <c r="J112" i="1"/>
  <c r="L112" i="1" s="1"/>
  <c r="M112" i="1" s="1"/>
  <c r="J113" i="1"/>
  <c r="J114" i="1"/>
  <c r="J115" i="1"/>
  <c r="J116" i="1"/>
  <c r="J117" i="1"/>
  <c r="J118" i="1"/>
  <c r="J119" i="1"/>
  <c r="J120" i="1"/>
  <c r="J121" i="1"/>
  <c r="J122" i="1"/>
  <c r="J123" i="1"/>
  <c r="L123" i="1" s="1"/>
  <c r="M123" i="1" s="1"/>
  <c r="J124" i="1"/>
  <c r="L124" i="1" s="1"/>
  <c r="M124" i="1" s="1"/>
  <c r="J125" i="1"/>
  <c r="J126" i="1"/>
  <c r="J127" i="1"/>
  <c r="J128" i="1"/>
  <c r="J129" i="1"/>
  <c r="J130" i="1"/>
  <c r="J131" i="1"/>
  <c r="J132" i="1"/>
  <c r="J133" i="1"/>
  <c r="J134" i="1"/>
  <c r="J135" i="1"/>
  <c r="L135" i="1" s="1"/>
  <c r="M135" i="1" s="1"/>
  <c r="J136" i="1"/>
  <c r="L136" i="1" s="1"/>
  <c r="M136" i="1" s="1"/>
  <c r="J137" i="1"/>
  <c r="J138" i="1"/>
  <c r="J139" i="1"/>
  <c r="J140" i="1"/>
  <c r="J141" i="1"/>
  <c r="J142" i="1"/>
  <c r="J143" i="1"/>
  <c r="J144" i="1"/>
  <c r="J145" i="1"/>
  <c r="J146" i="1"/>
  <c r="J147" i="1"/>
  <c r="L147" i="1" s="1"/>
  <c r="M147" i="1" s="1"/>
  <c r="J148" i="1"/>
  <c r="L148" i="1" s="1"/>
  <c r="M148" i="1" s="1"/>
  <c r="J149" i="1"/>
  <c r="J150" i="1"/>
  <c r="J151" i="1"/>
  <c r="J152" i="1"/>
  <c r="J153" i="1"/>
  <c r="J154" i="1"/>
  <c r="J155" i="1"/>
  <c r="J156" i="1"/>
  <c r="J157" i="1"/>
  <c r="J158" i="1"/>
  <c r="J159" i="1"/>
  <c r="L159" i="1" s="1"/>
  <c r="M159" i="1" s="1"/>
  <c r="J160" i="1"/>
  <c r="L160" i="1" s="1"/>
  <c r="M160" i="1" s="1"/>
  <c r="J161" i="1"/>
  <c r="J162" i="1"/>
  <c r="J163" i="1"/>
  <c r="J164" i="1"/>
  <c r="J165" i="1"/>
  <c r="J166" i="1"/>
  <c r="J167" i="1"/>
  <c r="J168" i="1"/>
  <c r="J169" i="1"/>
  <c r="J170" i="1"/>
  <c r="J171" i="1"/>
  <c r="L171" i="1" s="1"/>
  <c r="M171" i="1" s="1"/>
  <c r="J172" i="1"/>
  <c r="L172" i="1" s="1"/>
  <c r="M172" i="1" s="1"/>
  <c r="J173" i="1"/>
  <c r="J174" i="1"/>
  <c r="J175" i="1"/>
  <c r="J176" i="1"/>
  <c r="J177" i="1"/>
  <c r="J178" i="1"/>
  <c r="J179" i="1"/>
  <c r="J180" i="1"/>
  <c r="J181" i="1"/>
  <c r="J182" i="1"/>
  <c r="J183" i="1"/>
  <c r="L183" i="1" s="1"/>
  <c r="M183" i="1" s="1"/>
  <c r="J184" i="1"/>
  <c r="L184" i="1" s="1"/>
  <c r="M184" i="1" s="1"/>
  <c r="J185" i="1"/>
  <c r="J186" i="1"/>
  <c r="J187" i="1"/>
  <c r="J188" i="1"/>
  <c r="J189" i="1"/>
  <c r="J190" i="1"/>
  <c r="J191" i="1"/>
  <c r="J192" i="1"/>
  <c r="J193" i="1"/>
  <c r="J194" i="1"/>
  <c r="J195" i="1"/>
  <c r="L195" i="1" s="1"/>
  <c r="M195" i="1" s="1"/>
  <c r="J196" i="1"/>
  <c r="L196" i="1" s="1"/>
  <c r="M196" i="1" s="1"/>
  <c r="J197" i="1"/>
  <c r="J198" i="1"/>
  <c r="J199" i="1"/>
  <c r="J200" i="1"/>
  <c r="J4" i="1"/>
  <c r="L12" i="1"/>
  <c r="M12" i="1" s="1"/>
  <c r="L24" i="1"/>
  <c r="M24" i="1" s="1"/>
  <c r="L36" i="1"/>
  <c r="M36" i="1" s="1"/>
  <c r="L48" i="1"/>
  <c r="M48" i="1" s="1"/>
  <c r="L60" i="1"/>
  <c r="M60" i="1" s="1"/>
  <c r="L72" i="1"/>
  <c r="M72" i="1" s="1"/>
  <c r="L84" i="1"/>
  <c r="M84" i="1" s="1"/>
  <c r="L96" i="1"/>
  <c r="M96" i="1" s="1"/>
  <c r="L108" i="1"/>
  <c r="M108" i="1" s="1"/>
  <c r="L120" i="1"/>
  <c r="M120" i="1" s="1"/>
  <c r="L132" i="1"/>
  <c r="M132" i="1" s="1"/>
  <c r="L144" i="1"/>
  <c r="M144" i="1" s="1"/>
  <c r="L156" i="1"/>
  <c r="M156" i="1" s="1"/>
  <c r="L168" i="1"/>
  <c r="M168" i="1" s="1"/>
  <c r="L180" i="1"/>
  <c r="M180" i="1" s="1"/>
  <c r="L192" i="1"/>
  <c r="M192" i="1" s="1"/>
  <c r="L99" i="1"/>
  <c r="M99" i="1" s="1"/>
  <c r="L111" i="1"/>
  <c r="M111" i="1" s="1"/>
  <c r="L4" i="1"/>
  <c r="M4" i="1" s="1"/>
  <c r="H4" i="1"/>
  <c r="M140" i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3" i="1"/>
  <c r="M13" i="1" s="1"/>
  <c r="L14" i="1"/>
  <c r="M14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5" i="1"/>
  <c r="M25" i="1" s="1"/>
  <c r="L26" i="1"/>
  <c r="M26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7" i="1"/>
  <c r="M37" i="1" s="1"/>
  <c r="L38" i="1"/>
  <c r="M38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9" i="1"/>
  <c r="M49" i="1" s="1"/>
  <c r="L50" i="1"/>
  <c r="M50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1" i="1"/>
  <c r="M61" i="1" s="1"/>
  <c r="L62" i="1"/>
  <c r="M62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3" i="1"/>
  <c r="M73" i="1" s="1"/>
  <c r="L74" i="1"/>
  <c r="M74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5" i="1"/>
  <c r="M85" i="1" s="1"/>
  <c r="L86" i="1"/>
  <c r="M86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7" i="1"/>
  <c r="M97" i="1" s="1"/>
  <c r="L98" i="1"/>
  <c r="M98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9" i="1"/>
  <c r="M109" i="1" s="1"/>
  <c r="L110" i="1"/>
  <c r="M110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1" i="1"/>
  <c r="M121" i="1" s="1"/>
  <c r="L122" i="1"/>
  <c r="M122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3" i="1"/>
  <c r="M133" i="1" s="1"/>
  <c r="L134" i="1"/>
  <c r="M134" i="1" s="1"/>
  <c r="L137" i="1"/>
  <c r="M137" i="1" s="1"/>
  <c r="L138" i="1"/>
  <c r="M138" i="1" s="1"/>
  <c r="L139" i="1"/>
  <c r="M139" i="1" s="1"/>
  <c r="L140" i="1"/>
  <c r="L141" i="1"/>
  <c r="M141" i="1" s="1"/>
  <c r="L142" i="1"/>
  <c r="M142" i="1" s="1"/>
  <c r="L143" i="1"/>
  <c r="M143" i="1" s="1"/>
  <c r="L145" i="1"/>
  <c r="M145" i="1" s="1"/>
  <c r="L146" i="1"/>
  <c r="M146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7" i="1"/>
  <c r="M157" i="1" s="1"/>
  <c r="L158" i="1"/>
  <c r="M158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9" i="1"/>
  <c r="M169" i="1" s="1"/>
  <c r="L170" i="1"/>
  <c r="M170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1" i="1"/>
  <c r="M181" i="1" s="1"/>
  <c r="L182" i="1"/>
  <c r="M182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3" i="1"/>
  <c r="M193" i="1" s="1"/>
  <c r="L194" i="1"/>
  <c r="M194" i="1" s="1"/>
  <c r="L197" i="1"/>
  <c r="M197" i="1" s="1"/>
  <c r="L198" i="1"/>
  <c r="M198" i="1" s="1"/>
  <c r="L199" i="1"/>
  <c r="M199" i="1" s="1"/>
  <c r="L200" i="1"/>
  <c r="M200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J201" i="1" l="1"/>
  <c r="G201" i="1"/>
  <c r="H201" i="1"/>
  <c r="I201" i="1"/>
  <c r="M201" i="1"/>
  <c r="P2" i="1" s="1"/>
  <c r="L201" i="1" l="1"/>
  <c r="P3" i="1" s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<sst xmlns="http://schemas.openxmlformats.org/spreadsheetml/2006/main" count="804" uniqueCount="247">
  <si>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</si>
  <si>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</si>
  <si>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</si>
  <si>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</si>
  <si>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</si>
  <si>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</si>
  <si>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</si>
  <si>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</si>
  <si>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</si>
  <si>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</si>
  <si>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</si>
  <si>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</si>
  <si>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</si>
  <si>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</si>
  <si>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</si>
  <si>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</si>
  <si>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</si>
  <si>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</si>
  <si>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</si>
  <si>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</si>
  <si>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</si>
  <si>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</si>
  <si>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</si>
  <si>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</si>
  <si>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</si>
  <si>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</si>
  <si>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</si>
  <si>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</si>
  <si>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</si>
  <si>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</si>
  <si>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</si>
  <si>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</si>
  <si>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</si>
  <si>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</si>
  <si>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</si>
  <si>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</si>
  <si>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</si>
  <si>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</si>
  <si>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</si>
  <si>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</si>
  <si>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</si>
  <si>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</si>
  <si>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</si>
  <si>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</si>
  <si>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</si>
  <si>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</si>
  <si>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</si>
  <si>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</si>
  <si>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</si>
  <si>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</si>
  <si>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</si>
  <si>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</si>
  <si>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</si>
  <si>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</si>
  <si>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</si>
  <si>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</si>
  <si>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</si>
  <si>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</si>
  <si>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</si>
  <si>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</si>
  <si>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</si>
  <si>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</si>
  <si>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</si>
  <si>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</si>
  <si>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</si>
  <si>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</si>
  <si>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</si>
  <si>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</si>
  <si>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</si>
  <si>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</si>
  <si>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</si>
  <si>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</si>
  <si>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</si>
  <si>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</si>
  <si>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</si>
  <si>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</si>
  <si>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</si>
  <si>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</si>
  <si>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</si>
  <si>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</si>
  <si>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</si>
  <si>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</si>
  <si>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</si>
  <si>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</si>
  <si>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</si>
  <si>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</si>
  <si>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</si>
  <si>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</si>
  <si>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</si>
  <si>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</si>
  <si>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</si>
  <si>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</si>
  <si>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</si>
  <si>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</si>
  <si>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</si>
  <si>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</si>
  <si>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</si>
  <si>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</si>
  <si>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</si>
  <si>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</si>
  <si>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</si>
  <si>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</si>
  <si>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</si>
  <si>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</si>
  <si>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</si>
  <si>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</si>
  <si>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</si>
  <si>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</si>
  <si>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</si>
  <si>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</si>
  <si>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</si>
  <si>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</si>
  <si>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</si>
  <si>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</si>
  <si>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</si>
  <si>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</si>
  <si>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</si>
  <si>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</si>
  <si>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</si>
  <si>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</si>
  <si>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</si>
  <si>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</si>
  <si>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</si>
  <si>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</si>
  <si>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</si>
  <si>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</si>
  <si>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</si>
  <si>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</si>
  <si>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</si>
  <si>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</si>
  <si>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</si>
  <si>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</si>
  <si>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</si>
  <si>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</si>
  <si>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</si>
  <si>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</si>
  <si>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</si>
  <si>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</si>
  <si>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</si>
  <si>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</si>
  <si>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</si>
  <si>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</si>
  <si>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</si>
  <si>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</si>
  <si>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</si>
  <si>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</si>
  <si>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</si>
  <si>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</si>
  <si>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</si>
  <si>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</si>
  <si>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</si>
  <si>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</si>
  <si>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</si>
  <si>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</si>
  <si>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</si>
  <si>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</si>
  <si>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</si>
  <si>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</si>
  <si>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</si>
  <si>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</si>
  <si>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</si>
  <si>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</si>
  <si>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</si>
  <si>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</si>
  <si>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</si>
  <si>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</si>
  <si>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</si>
  <si>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</si>
  <si>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</si>
  <si>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</si>
  <si>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</si>
  <si>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</si>
  <si>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</si>
  <si>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</si>
  <si>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</si>
  <si>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</si>
  <si>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</si>
  <si>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</si>
  <si>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</si>
  <si>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</si>
  <si>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</si>
  <si>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</si>
  <si>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</si>
  <si>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</si>
  <si>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</si>
  <si>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</si>
  <si>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</si>
  <si>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</si>
  <si>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</si>
  <si>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</si>
  <si>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</si>
  <si>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</si>
  <si>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</si>
  <si>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</si>
  <si>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</si>
  <si>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</si>
  <si>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</si>
  <si>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</si>
  <si>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</si>
  <si>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</si>
  <si>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</si>
  <si>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</si>
  <si>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</si>
  <si>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</si>
  <si>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</si>
  <si>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</si>
  <si>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</si>
  <si>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</si>
  <si>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</si>
  <si>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</si>
  <si>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</si>
  <si>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</si>
  <si>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</si>
  <si>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</si>
  <si>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</si>
  <si>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</si>
  <si>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</si>
  <si>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</si>
  <si>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</si>
  <si>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</si>
  <si>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</si>
  <si>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</si>
  <si>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</si>
  <si>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</si>
  <si>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</si>
  <si>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</si>
  <si>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</si>
  <si>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</si>
  <si>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</si>
  <si>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</si>
  <si>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</si>
  <si>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</si>
  <si>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</si>
  <si>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</si>
  <si>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</si>
  <si>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</si>
  <si>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</si>
  <si>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</si>
  <si>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</si>
  <si>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</si>
  <si>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</si>
  <si>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</si>
  <si>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</si>
  <si>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</si>
  <si>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</si>
  <si>
    <t>Items Purchased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</si>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</sst>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_-"/>
    <numFmt numFmtId="188" formatCode="_-[$$-409]* #,##0.00_ ;_-[$$-409]* \-#,##0.00\ ;_-[$$-409]* &quot;-&quot;??_ ;_-@_ "/>
    <numFmt numFmtId="189" formatCode="_-* #,##0_-;\-* #,##0_-;_-* &quot;-&quot;??_-;_-@_-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13">
    <xf numFmtId="0" fontId="0" fillId="0" borderId="0" xfId="0"/>
    <xf numFmtId="188" fontId="0" fillId="0" borderId="0" xfId="0" applyNumberFormat="1"/>
    <xf numFmtId="189" fontId="0" fillId="0" borderId="0" xfId="1" applyNumberFormat="1" applyFont="1"/>
    <xf numFmtId="189" fontId="0" fillId="0" borderId="0" xfId="0" applyNumberFormat="1"/>
    <xf numFmtId="10" fontId="0" fillId="0" borderId="0" xfId="0" applyNumberFormat="1"/>
    <xf numFmtId="188" fontId="0" fillId="0" borderId="2" xfId="0" applyNumberFormat="1" applyBorder="1"/>
    <xf numFmtId="187" fontId="0" fillId="0" borderId="0" xfId="1" applyFont="1"/>
    <xf numFmtId="188" fontId="0" fillId="0" borderId="0" xfId="1" applyNumberFormat="1" applyFont="1" applyFill="1"/>
    <xf numFmtId="187" fontId="0" fillId="0" borderId="2" xfId="1" applyFont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abSelected="1" topLeftCell="C1" zoomScale="89" zoomScaleNormal="89" workbookViewId="0">
      <pane ySplit="3" topLeftCell="A4" activePane="bottomLeft" state="frozen"/>
      <selection pane="bottomLeft" activeCell="G4" sqref="G4"/>
    </sheetView>
  </sheetViews>
  <sheetFormatPr defaultRowHeight="14.25" x14ac:dyDescent="0.2"/>
  <cols>
    <col min="1" max="1" width="31.375" bestFit="1" customWidth="1"/>
    <col min="2" max="2" width="11.375" bestFit="1" customWidth="1"/>
    <col min="3" max="3" width="12.25" bestFit="1" customWidth="1"/>
    <col min="4" max="4" width="16.75" bestFit="1" customWidth="1"/>
    <col min="5" max="5" width="13.25" customWidth="1"/>
    <col min="6" max="6" width="14" customWidth="1"/>
    <col min="7" max="7" width="18.125" customWidth="1"/>
    <col min="8" max="8" width="16.25" customWidth="1"/>
    <col min="9" max="9" width="19.625" customWidth="1"/>
    <col min="10" max="10" width="13.375" customWidth="1"/>
    <col min="11" max="11" width="14" bestFit="1" customWidth="1"/>
    <col min="12" max="12" width="17" customWidth="1"/>
    <col min="13" max="13" width="17.875" bestFit="1" customWidth="1"/>
    <col min="15" max="15" width="23" bestFit="1" customWidth="1"/>
    <col min="16" max="16" width="17.875" bestFit="1" customWidth="1"/>
  </cols>
  <sheetData>
    <row r="1" spans="1:16" ht="1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1" t="s">
        <v>245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O1" t="s">
        <v>12</v>
      </c>
      <c r="P1" s="1">
        <v>5</v>
      </c>
    </row>
    <row r="2" spans="1:16" ht="15" customHeight="1" x14ac:dyDescent="0.2">
      <c r="A2" s="9"/>
      <c r="B2" s="9"/>
      <c r="C2" s="9"/>
      <c r="D2" s="9"/>
      <c r="E2" s="11"/>
      <c r="F2" s="11"/>
      <c r="G2" s="11"/>
      <c r="H2" s="11"/>
      <c r="I2" s="11"/>
      <c r="J2" s="11"/>
      <c r="K2" s="11"/>
      <c r="L2" s="11"/>
      <c r="M2" s="11"/>
      <c r="O2" t="s">
        <v>11</v>
      </c>
      <c r="P2" s="1">
        <f>M201</f>
        <v>37533159.874062501</v>
      </c>
    </row>
    <row r="3" spans="1:16" ht="15.75" customHeight="1" thickBot="1" x14ac:dyDescent="0.25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O3" t="s">
        <v>246</v>
      </c>
      <c r="P3" s="4">
        <f>(L201-I201)/L201</f>
        <v>0.33333333333333326</v>
      </c>
    </row>
    <row r="4" spans="1:16" x14ac:dyDescent="0.2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7">
        <f>E4*F4</f>
        <v>1010216.69</v>
      </c>
      <c r="H4" s="7">
        <f>F4*$P$1</f>
        <v>23260</v>
      </c>
      <c r="I4" s="7">
        <f>G4+H4</f>
        <v>1033476.69</v>
      </c>
      <c r="J4" s="7">
        <f>(E4+$P$1)*1.5</f>
        <v>333.23624999999998</v>
      </c>
      <c r="K4" s="3">
        <f>F4</f>
        <v>4652</v>
      </c>
      <c r="L4" s="1">
        <f>K4*J4</f>
        <v>1550215.0349999999</v>
      </c>
      <c r="M4" s="7">
        <f>L4-I4</f>
        <v>516738.34499999997</v>
      </c>
    </row>
    <row r="5" spans="1:16" x14ac:dyDescent="0.2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>
        <f t="shared" ref="G5:G68" si="0">E5*F5</f>
        <v>11886.391874999999</v>
      </c>
      <c r="H5" s="7">
        <f t="shared" ref="H5:H68" si="1">F5*$P$1</f>
        <v>19761.25</v>
      </c>
      <c r="I5" s="7">
        <f t="shared" ref="I5:I68" si="2">G5+H5</f>
        <v>31647.641875000001</v>
      </c>
      <c r="J5" s="7">
        <f t="shared" ref="J5:J68" si="3">(E5+$P$1)*1.5</f>
        <v>12.01125</v>
      </c>
      <c r="K5" s="3">
        <f t="shared" ref="K5:K68" si="4">F5</f>
        <v>3952.25</v>
      </c>
      <c r="L5" s="1">
        <f t="shared" ref="L5:L68" si="5">K5*J5</f>
        <v>47471.462812500002</v>
      </c>
      <c r="M5" s="7">
        <f t="shared" ref="M5:M68" si="6">L5-I5</f>
        <v>15823.820937500001</v>
      </c>
    </row>
    <row r="6" spans="1:16" x14ac:dyDescent="0.2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22902.5</v>
      </c>
      <c r="I6" s="7">
        <f t="shared" si="2"/>
        <v>38796.834999999999</v>
      </c>
      <c r="J6" s="7">
        <f t="shared" si="3"/>
        <v>12.705000000000002</v>
      </c>
      <c r="K6" s="3">
        <f t="shared" si="4"/>
        <v>4580.5</v>
      </c>
      <c r="L6" s="1">
        <f t="shared" si="5"/>
        <v>58195.25250000001</v>
      </c>
      <c r="M6" s="7">
        <f t="shared" si="6"/>
        <v>19398.41750000001</v>
      </c>
    </row>
    <row r="7" spans="1:16" x14ac:dyDescent="0.2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22276.25</v>
      </c>
      <c r="I7" s="7">
        <f t="shared" si="2"/>
        <v>36856.055625000001</v>
      </c>
      <c r="J7" s="7">
        <f t="shared" si="3"/>
        <v>12.408750000000001</v>
      </c>
      <c r="K7" s="3">
        <f t="shared" si="4"/>
        <v>4455.25</v>
      </c>
      <c r="L7" s="1">
        <f t="shared" si="5"/>
        <v>55284.083437500005</v>
      </c>
      <c r="M7" s="7">
        <f t="shared" si="6"/>
        <v>18428.027812500004</v>
      </c>
    </row>
    <row r="8" spans="1:16" x14ac:dyDescent="0.2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22618.75</v>
      </c>
      <c r="I8" s="7">
        <f t="shared" si="2"/>
        <v>221889.9375</v>
      </c>
      <c r="J8" s="7">
        <f t="shared" si="3"/>
        <v>73.574999999999989</v>
      </c>
      <c r="K8" s="3">
        <f t="shared" si="4"/>
        <v>4523.75</v>
      </c>
      <c r="L8" s="1">
        <f t="shared" si="5"/>
        <v>332834.90624999994</v>
      </c>
      <c r="M8" s="7">
        <f t="shared" si="6"/>
        <v>110944.96874999994</v>
      </c>
    </row>
    <row r="9" spans="1:16" x14ac:dyDescent="0.2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19605</v>
      </c>
      <c r="I9" s="7">
        <f t="shared" si="2"/>
        <v>186384.73499999999</v>
      </c>
      <c r="J9" s="7">
        <f t="shared" si="3"/>
        <v>71.302499999999995</v>
      </c>
      <c r="K9" s="3">
        <f t="shared" si="4"/>
        <v>3921</v>
      </c>
      <c r="L9" s="1">
        <f t="shared" si="5"/>
        <v>279577.10249999998</v>
      </c>
      <c r="M9" s="7">
        <f t="shared" si="6"/>
        <v>93192.367499999993</v>
      </c>
      <c r="N9" s="4"/>
    </row>
    <row r="10" spans="1:16" x14ac:dyDescent="0.2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24876.25</v>
      </c>
      <c r="I10" s="7">
        <f t="shared" si="2"/>
        <v>279397.60187499999</v>
      </c>
      <c r="J10" s="7">
        <f t="shared" si="3"/>
        <v>84.236249999999998</v>
      </c>
      <c r="K10" s="3">
        <f t="shared" si="4"/>
        <v>4975.25</v>
      </c>
      <c r="L10" s="1">
        <f t="shared" si="5"/>
        <v>419096.40281250002</v>
      </c>
      <c r="M10" s="7">
        <f t="shared" si="6"/>
        <v>139698.80093750003</v>
      </c>
    </row>
    <row r="11" spans="1:16" x14ac:dyDescent="0.2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23010</v>
      </c>
      <c r="I11" s="7">
        <f t="shared" si="2"/>
        <v>732903.01500000001</v>
      </c>
      <c r="J11" s="7">
        <f t="shared" si="3"/>
        <v>238.88624999999999</v>
      </c>
      <c r="K11" s="3">
        <f t="shared" si="4"/>
        <v>4602</v>
      </c>
      <c r="L11" s="1">
        <f t="shared" si="5"/>
        <v>1099354.5225</v>
      </c>
      <c r="M11" s="7">
        <f t="shared" si="6"/>
        <v>366451.50749999995</v>
      </c>
    </row>
    <row r="12" spans="1:16" x14ac:dyDescent="0.2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23835</v>
      </c>
      <c r="I12" s="7">
        <f t="shared" si="2"/>
        <v>802881.97500000009</v>
      </c>
      <c r="J12" s="7">
        <f t="shared" si="3"/>
        <v>252.63750000000002</v>
      </c>
      <c r="K12" s="3">
        <f t="shared" si="4"/>
        <v>4767</v>
      </c>
      <c r="L12" s="1">
        <f t="shared" si="5"/>
        <v>1204322.9625000001</v>
      </c>
      <c r="M12" s="7">
        <f t="shared" si="6"/>
        <v>401440.98750000005</v>
      </c>
    </row>
    <row r="13" spans="1:16" x14ac:dyDescent="0.2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24607.5</v>
      </c>
      <c r="I13" s="7">
        <f t="shared" si="2"/>
        <v>933903.84</v>
      </c>
      <c r="J13" s="7">
        <f t="shared" si="3"/>
        <v>284.64</v>
      </c>
      <c r="K13" s="3">
        <f t="shared" si="4"/>
        <v>4921.5</v>
      </c>
      <c r="L13" s="1">
        <f t="shared" si="5"/>
        <v>1400855.76</v>
      </c>
      <c r="M13" s="7">
        <f t="shared" si="6"/>
        <v>466951.92000000004</v>
      </c>
    </row>
    <row r="14" spans="1:16" x14ac:dyDescent="0.2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20932.5</v>
      </c>
      <c r="I14" s="7">
        <f t="shared" si="2"/>
        <v>453345.61874999997</v>
      </c>
      <c r="J14" s="7">
        <f t="shared" si="3"/>
        <v>162.43124999999998</v>
      </c>
      <c r="K14" s="3">
        <f t="shared" si="4"/>
        <v>4186.5</v>
      </c>
      <c r="L14" s="1">
        <f t="shared" si="5"/>
        <v>680018.42812499986</v>
      </c>
      <c r="M14" s="7">
        <f t="shared" si="6"/>
        <v>226672.8093749999</v>
      </c>
    </row>
    <row r="15" spans="1:16" x14ac:dyDescent="0.2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20871.25</v>
      </c>
      <c r="I15" s="7">
        <f t="shared" si="2"/>
        <v>528783.55437500007</v>
      </c>
      <c r="J15" s="7">
        <f t="shared" si="3"/>
        <v>190.01624999999999</v>
      </c>
      <c r="K15" s="3">
        <f t="shared" si="4"/>
        <v>4174.25</v>
      </c>
      <c r="L15" s="1">
        <f t="shared" si="5"/>
        <v>793175.33156249998</v>
      </c>
      <c r="M15" s="7">
        <f t="shared" si="6"/>
        <v>264391.77718749992</v>
      </c>
    </row>
    <row r="16" spans="1:16" x14ac:dyDescent="0.2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22868.75</v>
      </c>
      <c r="I16" s="7">
        <f t="shared" si="2"/>
        <v>495279.953125</v>
      </c>
      <c r="J16" s="7">
        <f t="shared" si="3"/>
        <v>162.43124999999998</v>
      </c>
      <c r="K16" s="3">
        <f t="shared" si="4"/>
        <v>4573.75</v>
      </c>
      <c r="L16" s="1">
        <f t="shared" si="5"/>
        <v>742919.92968749988</v>
      </c>
      <c r="M16" s="7">
        <f t="shared" si="6"/>
        <v>247639.97656249988</v>
      </c>
    </row>
    <row r="17" spans="1:15" x14ac:dyDescent="0.2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22056.25</v>
      </c>
      <c r="I17" s="7">
        <f t="shared" si="2"/>
        <v>558806.12187499995</v>
      </c>
      <c r="J17" s="7">
        <f t="shared" si="3"/>
        <v>190.01624999999999</v>
      </c>
      <c r="K17" s="3">
        <f t="shared" si="4"/>
        <v>4411.25</v>
      </c>
      <c r="L17" s="1">
        <f t="shared" si="5"/>
        <v>838209.18281249993</v>
      </c>
      <c r="M17" s="7">
        <f t="shared" si="6"/>
        <v>279403.06093749998</v>
      </c>
    </row>
    <row r="18" spans="1:15" x14ac:dyDescent="0.2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21251.25</v>
      </c>
      <c r="I18" s="7">
        <f t="shared" si="2"/>
        <v>2038090.505625</v>
      </c>
      <c r="J18" s="7">
        <f t="shared" si="3"/>
        <v>719.28374999999994</v>
      </c>
      <c r="K18" s="3">
        <f t="shared" si="4"/>
        <v>4250.25</v>
      </c>
      <c r="L18" s="1">
        <f t="shared" si="5"/>
        <v>3057135.7584374999</v>
      </c>
      <c r="M18" s="7">
        <f t="shared" si="6"/>
        <v>1019045.2528124999</v>
      </c>
    </row>
    <row r="19" spans="1:15" x14ac:dyDescent="0.2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22611.25</v>
      </c>
      <c r="I19" s="7">
        <f t="shared" si="2"/>
        <v>2168520.6256249999</v>
      </c>
      <c r="J19" s="7">
        <f t="shared" si="3"/>
        <v>719.28374999999994</v>
      </c>
      <c r="K19" s="3">
        <f t="shared" si="4"/>
        <v>4522.25</v>
      </c>
      <c r="L19" s="1">
        <f t="shared" si="5"/>
        <v>3252780.9384374996</v>
      </c>
      <c r="M19" s="7">
        <f t="shared" si="6"/>
        <v>1084260.3128124997</v>
      </c>
    </row>
    <row r="20" spans="1:15" x14ac:dyDescent="0.2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20941.25</v>
      </c>
      <c r="I20" s="7">
        <f t="shared" si="2"/>
        <v>2008360.110625</v>
      </c>
      <c r="J20" s="7">
        <f t="shared" si="3"/>
        <v>719.28374999999994</v>
      </c>
      <c r="K20" s="3">
        <f t="shared" si="4"/>
        <v>4188.25</v>
      </c>
      <c r="L20" s="1">
        <f t="shared" si="5"/>
        <v>3012540.1659374996</v>
      </c>
      <c r="M20" s="7">
        <f t="shared" si="6"/>
        <v>1004180.0553124996</v>
      </c>
    </row>
    <row r="21" spans="1:15" x14ac:dyDescent="0.2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19908.75</v>
      </c>
      <c r="I21" s="7">
        <f t="shared" si="2"/>
        <v>1909338.714375</v>
      </c>
      <c r="J21" s="7">
        <f t="shared" si="3"/>
        <v>719.28374999999994</v>
      </c>
      <c r="K21" s="3">
        <f t="shared" si="4"/>
        <v>3981.75</v>
      </c>
      <c r="L21" s="1">
        <f t="shared" si="5"/>
        <v>2864008.0715624997</v>
      </c>
      <c r="M21" s="7">
        <f t="shared" si="6"/>
        <v>954669.35718749976</v>
      </c>
    </row>
    <row r="22" spans="1:15" x14ac:dyDescent="0.2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23450</v>
      </c>
      <c r="I22" s="7">
        <f t="shared" si="2"/>
        <v>1320012.2249999999</v>
      </c>
      <c r="J22" s="7">
        <f t="shared" si="3"/>
        <v>422.17874999999998</v>
      </c>
      <c r="K22" s="3">
        <f t="shared" si="4"/>
        <v>4690</v>
      </c>
      <c r="L22" s="1">
        <f t="shared" si="5"/>
        <v>1980018.3374999999</v>
      </c>
      <c r="M22" s="7">
        <f t="shared" si="6"/>
        <v>660006.11250000005</v>
      </c>
      <c r="O22" s="6"/>
    </row>
    <row r="23" spans="1:15" x14ac:dyDescent="0.2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19988.75</v>
      </c>
      <c r="I23" s="7">
        <f t="shared" si="2"/>
        <v>1271264.51125</v>
      </c>
      <c r="J23" s="7">
        <f t="shared" si="3"/>
        <v>476.99250000000001</v>
      </c>
      <c r="K23" s="3">
        <f t="shared" si="4"/>
        <v>3997.75</v>
      </c>
      <c r="L23" s="1">
        <f t="shared" si="5"/>
        <v>1906896.766875</v>
      </c>
      <c r="M23" s="7">
        <f t="shared" si="6"/>
        <v>635632.25562499999</v>
      </c>
    </row>
    <row r="24" spans="1:15" x14ac:dyDescent="0.2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22143.75</v>
      </c>
      <c r="I24" s="7">
        <f t="shared" si="2"/>
        <v>1484384.1375000002</v>
      </c>
      <c r="J24" s="7">
        <f t="shared" si="3"/>
        <v>502.755</v>
      </c>
      <c r="K24" s="3">
        <f t="shared" si="4"/>
        <v>4428.75</v>
      </c>
      <c r="L24" s="1">
        <f t="shared" si="5"/>
        <v>2226576.2062499998</v>
      </c>
      <c r="M24" s="7">
        <f t="shared" si="6"/>
        <v>742192.06874999963</v>
      </c>
    </row>
    <row r="25" spans="1:15" x14ac:dyDescent="0.2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19977.5</v>
      </c>
      <c r="I25" s="7">
        <f t="shared" si="2"/>
        <v>1339171.7350000001</v>
      </c>
      <c r="J25" s="7">
        <f t="shared" si="3"/>
        <v>502.755</v>
      </c>
      <c r="K25" s="3">
        <f t="shared" si="4"/>
        <v>3995.5</v>
      </c>
      <c r="L25" s="1">
        <f t="shared" si="5"/>
        <v>2008757.6025</v>
      </c>
      <c r="M25" s="7">
        <f t="shared" si="6"/>
        <v>669585.86749999993</v>
      </c>
    </row>
    <row r="26" spans="1:15" x14ac:dyDescent="0.2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21053.75</v>
      </c>
      <c r="I26" s="7">
        <f t="shared" si="2"/>
        <v>216664.14124999999</v>
      </c>
      <c r="J26" s="7">
        <f t="shared" si="3"/>
        <v>77.182500000000005</v>
      </c>
      <c r="K26" s="3">
        <f t="shared" si="4"/>
        <v>4210.75</v>
      </c>
      <c r="L26" s="1">
        <f t="shared" si="5"/>
        <v>324996.21187500004</v>
      </c>
      <c r="M26" s="7">
        <f t="shared" si="6"/>
        <v>108332.07062500005</v>
      </c>
    </row>
    <row r="27" spans="1:15" x14ac:dyDescent="0.2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20890</v>
      </c>
      <c r="I27" s="7">
        <f t="shared" si="2"/>
        <v>49060.164999999994</v>
      </c>
      <c r="J27" s="7">
        <f t="shared" si="3"/>
        <v>17.61375</v>
      </c>
      <c r="K27" s="3">
        <f t="shared" si="4"/>
        <v>4178</v>
      </c>
      <c r="L27" s="1">
        <f t="shared" si="5"/>
        <v>73590.247499999998</v>
      </c>
      <c r="M27" s="7">
        <f t="shared" si="6"/>
        <v>24530.082500000004</v>
      </c>
    </row>
    <row r="28" spans="1:15" x14ac:dyDescent="0.2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18895</v>
      </c>
      <c r="I28" s="7">
        <f t="shared" si="2"/>
        <v>106577.2475</v>
      </c>
      <c r="J28" s="7">
        <f t="shared" si="3"/>
        <v>42.303750000000001</v>
      </c>
      <c r="K28" s="3">
        <f t="shared" si="4"/>
        <v>3779</v>
      </c>
      <c r="L28" s="1">
        <f t="shared" si="5"/>
        <v>159865.87125</v>
      </c>
      <c r="M28" s="7">
        <f t="shared" si="6"/>
        <v>53288.623749999999</v>
      </c>
    </row>
    <row r="29" spans="1:15" x14ac:dyDescent="0.2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20096.25</v>
      </c>
      <c r="I29" s="7">
        <f t="shared" si="2"/>
        <v>154037.75625000001</v>
      </c>
      <c r="J29" s="7">
        <f t="shared" si="3"/>
        <v>57.487500000000004</v>
      </c>
      <c r="K29" s="3">
        <f t="shared" si="4"/>
        <v>4019.25</v>
      </c>
      <c r="L29" s="1">
        <f t="shared" si="5"/>
        <v>231056.63437500002</v>
      </c>
      <c r="M29" s="7">
        <f t="shared" si="6"/>
        <v>77018.878125000017</v>
      </c>
    </row>
    <row r="30" spans="1:15" x14ac:dyDescent="0.2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22248.75</v>
      </c>
      <c r="I30" s="7">
        <f t="shared" si="2"/>
        <v>65589.315000000002</v>
      </c>
      <c r="J30" s="7">
        <f t="shared" si="3"/>
        <v>22.11</v>
      </c>
      <c r="K30" s="3">
        <f t="shared" si="4"/>
        <v>4449.75</v>
      </c>
      <c r="L30" s="1">
        <f t="shared" si="5"/>
        <v>98383.972500000003</v>
      </c>
      <c r="M30" s="7">
        <f t="shared" si="6"/>
        <v>32794.657500000001</v>
      </c>
    </row>
    <row r="31" spans="1:15" x14ac:dyDescent="0.2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24441.25</v>
      </c>
      <c r="I31" s="7">
        <f t="shared" si="2"/>
        <v>152513.4</v>
      </c>
      <c r="J31" s="7">
        <f t="shared" si="3"/>
        <v>46.8</v>
      </c>
      <c r="K31" s="3">
        <f t="shared" si="4"/>
        <v>4888.25</v>
      </c>
      <c r="L31" s="1">
        <f t="shared" si="5"/>
        <v>228770.09999999998</v>
      </c>
      <c r="M31" s="7">
        <f t="shared" si="6"/>
        <v>76256.699999999983</v>
      </c>
    </row>
    <row r="32" spans="1:15" x14ac:dyDescent="0.2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18876.25</v>
      </c>
      <c r="I32" s="7">
        <f t="shared" si="2"/>
        <v>155993.32999999999</v>
      </c>
      <c r="J32" s="7">
        <f t="shared" si="3"/>
        <v>61.980000000000004</v>
      </c>
      <c r="K32" s="3">
        <f t="shared" si="4"/>
        <v>3775.25</v>
      </c>
      <c r="L32" s="1">
        <f t="shared" si="5"/>
        <v>233989.99500000002</v>
      </c>
      <c r="M32" s="7">
        <f t="shared" si="6"/>
        <v>77996.665000000037</v>
      </c>
    </row>
    <row r="33" spans="1:13" x14ac:dyDescent="0.2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24435</v>
      </c>
      <c r="I33" s="7">
        <f t="shared" si="2"/>
        <v>85498.065000000002</v>
      </c>
      <c r="J33" s="7">
        <f t="shared" si="3"/>
        <v>26.242499999999996</v>
      </c>
      <c r="K33" s="3">
        <f t="shared" si="4"/>
        <v>4887</v>
      </c>
      <c r="L33" s="1">
        <f t="shared" si="5"/>
        <v>128247.09749999997</v>
      </c>
      <c r="M33" s="7">
        <f t="shared" si="6"/>
        <v>42749.032499999972</v>
      </c>
    </row>
    <row r="34" spans="1:13" x14ac:dyDescent="0.2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23626.25</v>
      </c>
      <c r="I34" s="7">
        <f t="shared" si="2"/>
        <v>243137.73874999999</v>
      </c>
      <c r="J34" s="7">
        <f t="shared" si="3"/>
        <v>77.182500000000005</v>
      </c>
      <c r="K34" s="3">
        <f t="shared" si="4"/>
        <v>4725.25</v>
      </c>
      <c r="L34" s="1">
        <f t="shared" si="5"/>
        <v>364706.60812500003</v>
      </c>
      <c r="M34" s="7">
        <f t="shared" si="6"/>
        <v>121568.86937500004</v>
      </c>
    </row>
    <row r="35" spans="1:13" x14ac:dyDescent="0.2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21631.25</v>
      </c>
      <c r="I35" s="7">
        <f t="shared" si="2"/>
        <v>222607.19375000001</v>
      </c>
      <c r="J35" s="7">
        <f t="shared" si="3"/>
        <v>77.182500000000005</v>
      </c>
      <c r="K35" s="3">
        <f t="shared" si="4"/>
        <v>4326.25</v>
      </c>
      <c r="L35" s="1">
        <f t="shared" si="5"/>
        <v>333910.79062500002</v>
      </c>
      <c r="M35" s="7">
        <f t="shared" si="6"/>
        <v>111303.59687500002</v>
      </c>
    </row>
    <row r="36" spans="1:13" x14ac:dyDescent="0.2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19767.5</v>
      </c>
      <c r="I36" s="7">
        <f t="shared" si="2"/>
        <v>203427.3425</v>
      </c>
      <c r="J36" s="7">
        <f t="shared" si="3"/>
        <v>77.182500000000005</v>
      </c>
      <c r="K36" s="3">
        <f t="shared" si="4"/>
        <v>3953.5</v>
      </c>
      <c r="L36" s="1">
        <f t="shared" si="5"/>
        <v>305141.01375000004</v>
      </c>
      <c r="M36" s="7">
        <f t="shared" si="6"/>
        <v>101713.67125000004</v>
      </c>
    </row>
    <row r="37" spans="1:13" x14ac:dyDescent="0.2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21132.5</v>
      </c>
      <c r="I37" s="7">
        <f t="shared" si="2"/>
        <v>784290.47250000003</v>
      </c>
      <c r="J37" s="7">
        <f t="shared" si="3"/>
        <v>278.34749999999997</v>
      </c>
      <c r="K37" s="3">
        <f t="shared" si="4"/>
        <v>4226.5</v>
      </c>
      <c r="L37" s="1">
        <f t="shared" si="5"/>
        <v>1176435.7087499998</v>
      </c>
      <c r="M37" s="7">
        <f t="shared" si="6"/>
        <v>392145.23624999973</v>
      </c>
    </row>
    <row r="38" spans="1:13" x14ac:dyDescent="0.2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21086.25</v>
      </c>
      <c r="I38" s="7">
        <f t="shared" si="2"/>
        <v>936893.71687500004</v>
      </c>
      <c r="J38" s="7">
        <f t="shared" si="3"/>
        <v>333.23624999999998</v>
      </c>
      <c r="K38" s="3">
        <f t="shared" si="4"/>
        <v>4217.25</v>
      </c>
      <c r="L38" s="1">
        <f t="shared" si="5"/>
        <v>1405340.5753124999</v>
      </c>
      <c r="M38" s="7">
        <f t="shared" si="6"/>
        <v>468446.85843749985</v>
      </c>
    </row>
    <row r="39" spans="1:13" x14ac:dyDescent="0.2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20588.75</v>
      </c>
      <c r="I39" s="7">
        <f t="shared" si="2"/>
        <v>914789.04562500003</v>
      </c>
      <c r="J39" s="7">
        <f t="shared" si="3"/>
        <v>333.23624999999998</v>
      </c>
      <c r="K39" s="3">
        <f t="shared" si="4"/>
        <v>4117.75</v>
      </c>
      <c r="L39" s="1">
        <f t="shared" si="5"/>
        <v>1372183.5684374999</v>
      </c>
      <c r="M39" s="7">
        <f t="shared" si="6"/>
        <v>457394.5228124999</v>
      </c>
    </row>
    <row r="40" spans="1:13" x14ac:dyDescent="0.2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19702.5</v>
      </c>
      <c r="I40" s="7">
        <f t="shared" si="2"/>
        <v>731218.88249999995</v>
      </c>
      <c r="J40" s="7">
        <f t="shared" si="3"/>
        <v>278.34749999999997</v>
      </c>
      <c r="K40" s="3">
        <f t="shared" si="4"/>
        <v>3940.5</v>
      </c>
      <c r="L40" s="1">
        <f t="shared" si="5"/>
        <v>1096828.32375</v>
      </c>
      <c r="M40" s="7">
        <f t="shared" si="6"/>
        <v>365609.44125000003</v>
      </c>
    </row>
    <row r="41" spans="1:13" x14ac:dyDescent="0.2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19005</v>
      </c>
      <c r="I41" s="7">
        <f t="shared" si="2"/>
        <v>705332.56499999994</v>
      </c>
      <c r="J41" s="7">
        <f t="shared" si="3"/>
        <v>278.34749999999997</v>
      </c>
      <c r="K41" s="3">
        <f t="shared" si="4"/>
        <v>3801</v>
      </c>
      <c r="L41" s="1">
        <f t="shared" si="5"/>
        <v>1057998.8474999999</v>
      </c>
      <c r="M41" s="7">
        <f t="shared" si="6"/>
        <v>352666.28249999997</v>
      </c>
    </row>
    <row r="42" spans="1:13" x14ac:dyDescent="0.2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18831.25</v>
      </c>
      <c r="I42" s="7">
        <f t="shared" si="2"/>
        <v>42134.921875</v>
      </c>
      <c r="J42" s="7">
        <f t="shared" si="3"/>
        <v>16.78125</v>
      </c>
      <c r="K42" s="3">
        <f t="shared" si="4"/>
        <v>3766.25</v>
      </c>
      <c r="L42" s="1">
        <f t="shared" si="5"/>
        <v>63202.3828125</v>
      </c>
      <c r="M42" s="7">
        <f t="shared" si="6"/>
        <v>21067.4609375</v>
      </c>
    </row>
    <row r="43" spans="1:13" x14ac:dyDescent="0.2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24232.5</v>
      </c>
      <c r="I43" s="7">
        <f t="shared" si="2"/>
        <v>54220.21875</v>
      </c>
      <c r="J43" s="7">
        <f t="shared" si="3"/>
        <v>16.78125</v>
      </c>
      <c r="K43" s="3">
        <f t="shared" si="4"/>
        <v>4846.5</v>
      </c>
      <c r="L43" s="1">
        <f t="shared" si="5"/>
        <v>81330.328125</v>
      </c>
      <c r="M43" s="7">
        <f t="shared" si="6"/>
        <v>27110.109375</v>
      </c>
    </row>
    <row r="44" spans="1:13" x14ac:dyDescent="0.2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22823.75</v>
      </c>
      <c r="I44" s="7">
        <f t="shared" si="2"/>
        <v>51068.140625</v>
      </c>
      <c r="J44" s="7">
        <f t="shared" si="3"/>
        <v>16.78125</v>
      </c>
      <c r="K44" s="3">
        <f t="shared" si="4"/>
        <v>4564.75</v>
      </c>
      <c r="L44" s="1">
        <f t="shared" si="5"/>
        <v>76602.2109375</v>
      </c>
      <c r="M44" s="7">
        <f t="shared" si="6"/>
        <v>25534.0703125</v>
      </c>
    </row>
    <row r="45" spans="1:13" x14ac:dyDescent="0.2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24498.75</v>
      </c>
      <c r="I45" s="7">
        <f t="shared" si="2"/>
        <v>54815.953125</v>
      </c>
      <c r="J45" s="7">
        <f t="shared" si="3"/>
        <v>16.78125</v>
      </c>
      <c r="K45" s="3">
        <f t="shared" si="4"/>
        <v>4899.75</v>
      </c>
      <c r="L45" s="1">
        <f t="shared" si="5"/>
        <v>82223.9296875</v>
      </c>
      <c r="M45" s="7">
        <f t="shared" si="6"/>
        <v>27407.9765625</v>
      </c>
    </row>
    <row r="46" spans="1:13" x14ac:dyDescent="0.2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20481.25</v>
      </c>
      <c r="I46" s="7">
        <f t="shared" si="2"/>
        <v>52155.503125000003</v>
      </c>
      <c r="J46" s="7">
        <f t="shared" si="3"/>
        <v>19.098749999999999</v>
      </c>
      <c r="K46" s="3">
        <f t="shared" si="4"/>
        <v>4096.25</v>
      </c>
      <c r="L46" s="1">
        <f t="shared" si="5"/>
        <v>78233.254687499997</v>
      </c>
      <c r="M46" s="7">
        <f t="shared" si="6"/>
        <v>26077.751562499994</v>
      </c>
    </row>
    <row r="47" spans="1:13" x14ac:dyDescent="0.2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20947.5</v>
      </c>
      <c r="I47" s="7">
        <f t="shared" si="2"/>
        <v>53342.808749999997</v>
      </c>
      <c r="J47" s="7">
        <f t="shared" si="3"/>
        <v>19.098749999999999</v>
      </c>
      <c r="K47" s="3">
        <f t="shared" si="4"/>
        <v>4189.5</v>
      </c>
      <c r="L47" s="1">
        <f t="shared" si="5"/>
        <v>80014.213124999995</v>
      </c>
      <c r="M47" s="7">
        <f t="shared" si="6"/>
        <v>26671.404374999998</v>
      </c>
    </row>
    <row r="48" spans="1:13" x14ac:dyDescent="0.2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22588.75</v>
      </c>
      <c r="I48" s="7">
        <f t="shared" si="2"/>
        <v>57522.251875000002</v>
      </c>
      <c r="J48" s="7">
        <f t="shared" si="3"/>
        <v>19.098749999999999</v>
      </c>
      <c r="K48" s="3">
        <f t="shared" si="4"/>
        <v>4517.75</v>
      </c>
      <c r="L48" s="1">
        <f t="shared" si="5"/>
        <v>86283.377812499995</v>
      </c>
      <c r="M48" s="7">
        <f t="shared" si="6"/>
        <v>28761.125937499994</v>
      </c>
    </row>
    <row r="49" spans="1:13" x14ac:dyDescent="0.2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22925</v>
      </c>
      <c r="I49" s="7">
        <f t="shared" si="2"/>
        <v>34055.087500000001</v>
      </c>
      <c r="J49" s="7">
        <f t="shared" si="3"/>
        <v>11.141249999999999</v>
      </c>
      <c r="K49" s="3">
        <f t="shared" si="4"/>
        <v>4585</v>
      </c>
      <c r="L49" s="1">
        <f t="shared" si="5"/>
        <v>51082.631249999999</v>
      </c>
      <c r="M49" s="7">
        <f t="shared" si="6"/>
        <v>17027.543749999997</v>
      </c>
    </row>
    <row r="50" spans="1:13" x14ac:dyDescent="0.2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18896.25</v>
      </c>
      <c r="I50" s="7">
        <f t="shared" si="2"/>
        <v>27550.732499999998</v>
      </c>
      <c r="J50" s="7">
        <f t="shared" si="3"/>
        <v>10.935</v>
      </c>
      <c r="K50" s="3">
        <f t="shared" si="4"/>
        <v>3779.25</v>
      </c>
      <c r="L50" s="1">
        <f t="shared" si="5"/>
        <v>41326.098750000005</v>
      </c>
      <c r="M50" s="7">
        <f t="shared" si="6"/>
        <v>13775.366250000006</v>
      </c>
    </row>
    <row r="51" spans="1:13" x14ac:dyDescent="0.2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22861.25</v>
      </c>
      <c r="I51" s="7">
        <f t="shared" si="2"/>
        <v>33960.386874999997</v>
      </c>
      <c r="J51" s="7">
        <f t="shared" si="3"/>
        <v>11.141249999999999</v>
      </c>
      <c r="K51" s="3">
        <f t="shared" si="4"/>
        <v>4572.25</v>
      </c>
      <c r="L51" s="1">
        <f t="shared" si="5"/>
        <v>50940.580312499995</v>
      </c>
      <c r="M51" s="7">
        <f t="shared" si="6"/>
        <v>16980.193437499998</v>
      </c>
    </row>
    <row r="52" spans="1:13" x14ac:dyDescent="0.2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21033.75</v>
      </c>
      <c r="I52" s="7">
        <f t="shared" si="2"/>
        <v>30667.2075</v>
      </c>
      <c r="J52" s="7">
        <f t="shared" si="3"/>
        <v>10.935</v>
      </c>
      <c r="K52" s="3">
        <f t="shared" si="4"/>
        <v>4206.75</v>
      </c>
      <c r="L52" s="1">
        <f t="shared" si="5"/>
        <v>46000.811249999999</v>
      </c>
      <c r="M52" s="7">
        <f t="shared" si="6"/>
        <v>15333.603749999998</v>
      </c>
    </row>
    <row r="53" spans="1:13" x14ac:dyDescent="0.2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23288.75</v>
      </c>
      <c r="I53" s="7">
        <f t="shared" si="2"/>
        <v>34595.438125000001</v>
      </c>
      <c r="J53" s="7">
        <f t="shared" si="3"/>
        <v>11.141249999999999</v>
      </c>
      <c r="K53" s="3">
        <f t="shared" si="4"/>
        <v>4657.75</v>
      </c>
      <c r="L53" s="1">
        <f t="shared" si="5"/>
        <v>51893.157187500001</v>
      </c>
      <c r="M53" s="7">
        <f t="shared" si="6"/>
        <v>17297.7190625</v>
      </c>
    </row>
    <row r="54" spans="1:13" x14ac:dyDescent="0.2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22951.25</v>
      </c>
      <c r="I54" s="7">
        <f t="shared" si="2"/>
        <v>33462.922500000001</v>
      </c>
      <c r="J54" s="7">
        <f t="shared" si="3"/>
        <v>10.935</v>
      </c>
      <c r="K54" s="3">
        <f t="shared" si="4"/>
        <v>4590.25</v>
      </c>
      <c r="L54" s="1">
        <f t="shared" si="5"/>
        <v>50194.383750000001</v>
      </c>
      <c r="M54" s="7">
        <f t="shared" si="6"/>
        <v>16731.46125</v>
      </c>
    </row>
    <row r="55" spans="1:13" x14ac:dyDescent="0.2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24483.75</v>
      </c>
      <c r="I55" s="7">
        <f t="shared" si="2"/>
        <v>43666.768125000002</v>
      </c>
      <c r="J55" s="7">
        <f t="shared" si="3"/>
        <v>13.376250000000001</v>
      </c>
      <c r="K55" s="3">
        <f t="shared" si="4"/>
        <v>4896.75</v>
      </c>
      <c r="L55" s="1">
        <f t="shared" si="5"/>
        <v>65500.152187500003</v>
      </c>
      <c r="M55" s="7">
        <f t="shared" si="6"/>
        <v>21833.384062500001</v>
      </c>
    </row>
    <row r="56" spans="1:13" x14ac:dyDescent="0.2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23731.25</v>
      </c>
      <c r="I56" s="7">
        <f t="shared" si="2"/>
        <v>42324.684374999997</v>
      </c>
      <c r="J56" s="7">
        <f t="shared" si="3"/>
        <v>13.376250000000001</v>
      </c>
      <c r="K56" s="3">
        <f t="shared" si="4"/>
        <v>4746.25</v>
      </c>
      <c r="L56" s="1">
        <f t="shared" si="5"/>
        <v>63487.026562500003</v>
      </c>
      <c r="M56" s="7">
        <f t="shared" si="6"/>
        <v>21162.342187500006</v>
      </c>
    </row>
    <row r="57" spans="1:13" x14ac:dyDescent="0.2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21562.5</v>
      </c>
      <c r="I57" s="7">
        <f t="shared" si="2"/>
        <v>38456.71875</v>
      </c>
      <c r="J57" s="7">
        <f t="shared" si="3"/>
        <v>13.376250000000001</v>
      </c>
      <c r="K57" s="3">
        <f t="shared" si="4"/>
        <v>4312.5</v>
      </c>
      <c r="L57" s="1">
        <f t="shared" si="5"/>
        <v>57685.078125</v>
      </c>
      <c r="M57" s="7">
        <f t="shared" si="6"/>
        <v>19228.359375</v>
      </c>
    </row>
    <row r="58" spans="1:13" x14ac:dyDescent="0.2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22405</v>
      </c>
      <c r="I58" s="7">
        <f t="shared" si="2"/>
        <v>51733.145000000004</v>
      </c>
      <c r="J58" s="7">
        <f t="shared" si="3"/>
        <v>17.317499999999999</v>
      </c>
      <c r="K58" s="3">
        <f t="shared" si="4"/>
        <v>4481</v>
      </c>
      <c r="L58" s="1">
        <f t="shared" si="5"/>
        <v>77599.717499999999</v>
      </c>
      <c r="M58" s="7">
        <f t="shared" si="6"/>
        <v>25866.572499999995</v>
      </c>
    </row>
    <row r="59" spans="1:13" x14ac:dyDescent="0.2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19142.5</v>
      </c>
      <c r="I59" s="7">
        <f t="shared" si="2"/>
        <v>44200.032500000001</v>
      </c>
      <c r="J59" s="7">
        <f t="shared" si="3"/>
        <v>17.317499999999999</v>
      </c>
      <c r="K59" s="3">
        <f t="shared" si="4"/>
        <v>3828.5</v>
      </c>
      <c r="L59" s="1">
        <f t="shared" si="5"/>
        <v>66300.048750000002</v>
      </c>
      <c r="M59" s="7">
        <f t="shared" si="6"/>
        <v>22100.016250000001</v>
      </c>
    </row>
    <row r="60" spans="1:13" x14ac:dyDescent="0.2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20713.75</v>
      </c>
      <c r="I60" s="7">
        <f t="shared" si="2"/>
        <v>47828.048750000002</v>
      </c>
      <c r="J60" s="7">
        <f t="shared" si="3"/>
        <v>17.317499999999999</v>
      </c>
      <c r="K60" s="3">
        <f t="shared" si="4"/>
        <v>4142.75</v>
      </c>
      <c r="L60" s="1">
        <f t="shared" si="5"/>
        <v>71742.073124999995</v>
      </c>
      <c r="M60" s="7">
        <f t="shared" si="6"/>
        <v>23914.024374999994</v>
      </c>
    </row>
    <row r="61" spans="1:13" x14ac:dyDescent="0.2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22761.25</v>
      </c>
      <c r="I61" s="7">
        <f t="shared" si="2"/>
        <v>111439.08</v>
      </c>
      <c r="J61" s="7">
        <f t="shared" si="3"/>
        <v>36.72</v>
      </c>
      <c r="K61" s="3">
        <f t="shared" si="4"/>
        <v>4552.25</v>
      </c>
      <c r="L61" s="1">
        <f t="shared" si="5"/>
        <v>167158.62</v>
      </c>
      <c r="M61" s="7">
        <f t="shared" si="6"/>
        <v>55719.539999999994</v>
      </c>
    </row>
    <row r="62" spans="1:13" x14ac:dyDescent="0.2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24046.25</v>
      </c>
      <c r="I62" s="7">
        <f t="shared" si="2"/>
        <v>160965.5975</v>
      </c>
      <c r="J62" s="7">
        <f t="shared" si="3"/>
        <v>50.204999999999998</v>
      </c>
      <c r="K62" s="3">
        <f t="shared" si="4"/>
        <v>4809.25</v>
      </c>
      <c r="L62" s="1">
        <f t="shared" si="5"/>
        <v>241448.39624999999</v>
      </c>
      <c r="M62" s="7">
        <f t="shared" si="6"/>
        <v>80482.798749999987</v>
      </c>
    </row>
    <row r="63" spans="1:13" x14ac:dyDescent="0.2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20997.5</v>
      </c>
      <c r="I63" s="7">
        <f t="shared" si="2"/>
        <v>209786.02249999999</v>
      </c>
      <c r="J63" s="7">
        <f t="shared" si="3"/>
        <v>74.932500000000005</v>
      </c>
      <c r="K63" s="3">
        <f t="shared" si="4"/>
        <v>4199.5</v>
      </c>
      <c r="L63" s="1">
        <f t="shared" si="5"/>
        <v>314679.03375</v>
      </c>
      <c r="M63" s="7">
        <f t="shared" si="6"/>
        <v>104893.01125000001</v>
      </c>
    </row>
    <row r="64" spans="1:13" x14ac:dyDescent="0.2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19936.25</v>
      </c>
      <c r="I64" s="7">
        <f t="shared" si="2"/>
        <v>362490.86562499998</v>
      </c>
      <c r="J64" s="7">
        <f t="shared" si="3"/>
        <v>136.36874999999998</v>
      </c>
      <c r="K64" s="3">
        <f t="shared" si="4"/>
        <v>3987.25</v>
      </c>
      <c r="L64" s="1">
        <f t="shared" si="5"/>
        <v>543736.29843749991</v>
      </c>
      <c r="M64" s="7">
        <f t="shared" si="6"/>
        <v>181245.43281249993</v>
      </c>
    </row>
    <row r="65" spans="1:13" x14ac:dyDescent="0.2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22766.25</v>
      </c>
      <c r="I65" s="7">
        <f t="shared" si="2"/>
        <v>358090.34625</v>
      </c>
      <c r="J65" s="7">
        <f t="shared" si="3"/>
        <v>117.9675</v>
      </c>
      <c r="K65" s="3">
        <f t="shared" si="4"/>
        <v>4553.25</v>
      </c>
      <c r="L65" s="1">
        <f t="shared" si="5"/>
        <v>537135.51937500003</v>
      </c>
      <c r="M65" s="7">
        <f t="shared" si="6"/>
        <v>179045.17312500003</v>
      </c>
    </row>
    <row r="66" spans="1:13" x14ac:dyDescent="0.2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20770</v>
      </c>
      <c r="I66" s="7">
        <f t="shared" si="2"/>
        <v>377650.52499999997</v>
      </c>
      <c r="J66" s="7">
        <f t="shared" si="3"/>
        <v>136.36874999999998</v>
      </c>
      <c r="K66" s="3">
        <f t="shared" si="4"/>
        <v>4154</v>
      </c>
      <c r="L66" s="1">
        <f t="shared" si="5"/>
        <v>566475.78749999986</v>
      </c>
      <c r="M66" s="7">
        <f t="shared" si="6"/>
        <v>188825.2624999999</v>
      </c>
    </row>
    <row r="67" spans="1:13" x14ac:dyDescent="0.2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21548.75</v>
      </c>
      <c r="I67" s="7">
        <f t="shared" si="2"/>
        <v>391810.14687499998</v>
      </c>
      <c r="J67" s="7">
        <f t="shared" si="3"/>
        <v>136.36874999999998</v>
      </c>
      <c r="K67" s="3">
        <f t="shared" si="4"/>
        <v>4309.75</v>
      </c>
      <c r="L67" s="1">
        <f t="shared" si="5"/>
        <v>587715.22031249991</v>
      </c>
      <c r="M67" s="7">
        <f t="shared" si="6"/>
        <v>195905.07343749993</v>
      </c>
    </row>
    <row r="68" spans="1:13" x14ac:dyDescent="0.2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22338.75</v>
      </c>
      <c r="I68" s="7">
        <f t="shared" si="2"/>
        <v>406174.32187499997</v>
      </c>
      <c r="J68" s="7">
        <f t="shared" si="3"/>
        <v>136.36874999999998</v>
      </c>
      <c r="K68" s="3">
        <f t="shared" si="4"/>
        <v>4467.75</v>
      </c>
      <c r="L68" s="1">
        <f t="shared" si="5"/>
        <v>609261.48281249986</v>
      </c>
      <c r="M68" s="7">
        <f t="shared" si="6"/>
        <v>203087.1609374999</v>
      </c>
    </row>
    <row r="69" spans="1:13" x14ac:dyDescent="0.2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>
        <f t="shared" ref="G69:G132" si="7">E69*F69</f>
        <v>854623.34124999994</v>
      </c>
      <c r="H69" s="7">
        <f t="shared" ref="H69:H132" si="8">F69*$P$1</f>
        <v>19677.5</v>
      </c>
      <c r="I69" s="7">
        <f t="shared" ref="I69:I132" si="9">G69+H69</f>
        <v>874300.84124999994</v>
      </c>
      <c r="J69" s="7">
        <f t="shared" ref="J69:J132" si="10">(E69+$P$1)*1.5</f>
        <v>333.23624999999998</v>
      </c>
      <c r="K69" s="3">
        <f t="shared" ref="K69:K132" si="11">F69</f>
        <v>3935.5</v>
      </c>
      <c r="L69" s="1">
        <f t="shared" ref="L69:L132" si="12">K69*J69</f>
        <v>1311451.2618749999</v>
      </c>
      <c r="M69" s="7">
        <f t="shared" ref="M69:M132" si="13">L69-I69</f>
        <v>437150.42062499991</v>
      </c>
    </row>
    <row r="70" spans="1:13" x14ac:dyDescent="0.2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24745</v>
      </c>
      <c r="I70" s="7">
        <f t="shared" si="9"/>
        <v>39629.1175</v>
      </c>
      <c r="J70" s="7">
        <f t="shared" si="10"/>
        <v>12.01125</v>
      </c>
      <c r="K70" s="3">
        <f t="shared" si="11"/>
        <v>4949</v>
      </c>
      <c r="L70" s="1">
        <f t="shared" si="12"/>
        <v>59443.676250000004</v>
      </c>
      <c r="M70" s="7">
        <f t="shared" si="13"/>
        <v>19814.558750000004</v>
      </c>
    </row>
    <row r="71" spans="1:13" x14ac:dyDescent="0.2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21971.25</v>
      </c>
      <c r="I71" s="7">
        <f t="shared" si="9"/>
        <v>35186.956875000003</v>
      </c>
      <c r="J71" s="7">
        <f t="shared" si="10"/>
        <v>12.01125</v>
      </c>
      <c r="K71" s="3">
        <f t="shared" si="11"/>
        <v>4394.25</v>
      </c>
      <c r="L71" s="1">
        <f t="shared" si="12"/>
        <v>52780.435312500005</v>
      </c>
      <c r="M71" s="7">
        <f t="shared" si="13"/>
        <v>17593.478437500002</v>
      </c>
    </row>
    <row r="72" spans="1:13" x14ac:dyDescent="0.2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19058.75</v>
      </c>
      <c r="I72" s="7">
        <f t="shared" si="9"/>
        <v>22298.737499999999</v>
      </c>
      <c r="J72" s="7">
        <f t="shared" si="10"/>
        <v>8.7749999999999986</v>
      </c>
      <c r="K72" s="3">
        <f t="shared" si="11"/>
        <v>3811.75</v>
      </c>
      <c r="L72" s="1">
        <f t="shared" si="12"/>
        <v>33448.106249999997</v>
      </c>
      <c r="M72" s="7">
        <f t="shared" si="13"/>
        <v>11149.368749999998</v>
      </c>
    </row>
    <row r="73" spans="1:13" x14ac:dyDescent="0.2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20626.25</v>
      </c>
      <c r="I73" s="7">
        <f t="shared" si="9"/>
        <v>24132.712500000001</v>
      </c>
      <c r="J73" s="7">
        <f t="shared" si="10"/>
        <v>8.7749999999999986</v>
      </c>
      <c r="K73" s="3">
        <f t="shared" si="11"/>
        <v>4125.25</v>
      </c>
      <c r="L73" s="1">
        <f t="shared" si="12"/>
        <v>36199.068749999991</v>
      </c>
      <c r="M73" s="7">
        <f t="shared" si="13"/>
        <v>12066.35624999999</v>
      </c>
    </row>
    <row r="74" spans="1:13" x14ac:dyDescent="0.2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21633.75</v>
      </c>
      <c r="I74" s="7">
        <f t="shared" si="9"/>
        <v>36647.572500000002</v>
      </c>
      <c r="J74" s="7">
        <f t="shared" si="10"/>
        <v>12.705000000000002</v>
      </c>
      <c r="K74" s="3">
        <f t="shared" si="11"/>
        <v>4326.75</v>
      </c>
      <c r="L74" s="1">
        <f t="shared" si="12"/>
        <v>54971.358750000007</v>
      </c>
      <c r="M74" s="7">
        <f t="shared" si="13"/>
        <v>18323.786250000005</v>
      </c>
    </row>
    <row r="75" spans="1:13" x14ac:dyDescent="0.2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20361.25</v>
      </c>
      <c r="I75" s="7">
        <f t="shared" si="9"/>
        <v>26174.386875</v>
      </c>
      <c r="J75" s="7">
        <f t="shared" si="10"/>
        <v>9.6412499999999994</v>
      </c>
      <c r="K75" s="3">
        <f t="shared" si="11"/>
        <v>4072.25</v>
      </c>
      <c r="L75" s="1">
        <f t="shared" si="12"/>
        <v>39261.580312499995</v>
      </c>
      <c r="M75" s="7">
        <f t="shared" si="13"/>
        <v>13087.193437499995</v>
      </c>
    </row>
    <row r="76" spans="1:13" x14ac:dyDescent="0.2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22260</v>
      </c>
      <c r="I76" s="7">
        <f t="shared" si="9"/>
        <v>57564.36</v>
      </c>
      <c r="J76" s="7">
        <f t="shared" si="10"/>
        <v>19.395</v>
      </c>
      <c r="K76" s="3">
        <f t="shared" si="11"/>
        <v>4452</v>
      </c>
      <c r="L76" s="1">
        <f t="shared" si="12"/>
        <v>86346.54</v>
      </c>
      <c r="M76" s="7">
        <f t="shared" si="13"/>
        <v>28782.179999999993</v>
      </c>
    </row>
    <row r="77" spans="1:13" x14ac:dyDescent="0.2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20855</v>
      </c>
      <c r="I77" s="7">
        <f t="shared" si="9"/>
        <v>53931.03</v>
      </c>
      <c r="J77" s="7">
        <f t="shared" si="10"/>
        <v>19.395</v>
      </c>
      <c r="K77" s="3">
        <f t="shared" si="11"/>
        <v>4171</v>
      </c>
      <c r="L77" s="1">
        <f t="shared" si="12"/>
        <v>80896.544999999998</v>
      </c>
      <c r="M77" s="7">
        <f t="shared" si="13"/>
        <v>26965.514999999999</v>
      </c>
    </row>
    <row r="78" spans="1:13" x14ac:dyDescent="0.2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23768.75</v>
      </c>
      <c r="I78" s="7">
        <f t="shared" si="9"/>
        <v>61465.987499999996</v>
      </c>
      <c r="J78" s="7">
        <f t="shared" si="10"/>
        <v>19.395</v>
      </c>
      <c r="K78" s="3">
        <f t="shared" si="11"/>
        <v>4753.75</v>
      </c>
      <c r="L78" s="1">
        <f t="shared" si="12"/>
        <v>92198.981249999997</v>
      </c>
      <c r="M78" s="7">
        <f t="shared" si="13"/>
        <v>30732.993750000001</v>
      </c>
    </row>
    <row r="79" spans="1:13" x14ac:dyDescent="0.2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19097.5</v>
      </c>
      <c r="I79" s="7">
        <f t="shared" si="9"/>
        <v>49386.134999999995</v>
      </c>
      <c r="J79" s="7">
        <f t="shared" si="10"/>
        <v>19.395</v>
      </c>
      <c r="K79" s="3">
        <f t="shared" si="11"/>
        <v>3819.5</v>
      </c>
      <c r="L79" s="1">
        <f t="shared" si="12"/>
        <v>74079.202499999999</v>
      </c>
      <c r="M79" s="7">
        <f t="shared" si="13"/>
        <v>24693.067500000005</v>
      </c>
    </row>
    <row r="80" spans="1:13" x14ac:dyDescent="0.2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22640</v>
      </c>
      <c r="I80" s="7">
        <f t="shared" si="9"/>
        <v>728826.88</v>
      </c>
      <c r="J80" s="7">
        <f t="shared" si="10"/>
        <v>241.44</v>
      </c>
      <c r="K80" s="3">
        <f t="shared" si="11"/>
        <v>4528</v>
      </c>
      <c r="L80" s="1">
        <f t="shared" si="12"/>
        <v>1093240.3200000001</v>
      </c>
      <c r="M80" s="7">
        <f t="shared" si="13"/>
        <v>364413.44000000006</v>
      </c>
    </row>
    <row r="81" spans="1:13" x14ac:dyDescent="0.2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19981.25</v>
      </c>
      <c r="I81" s="7">
        <f t="shared" si="9"/>
        <v>726128.61562499998</v>
      </c>
      <c r="J81" s="7">
        <f t="shared" si="10"/>
        <v>272.55374999999998</v>
      </c>
      <c r="K81" s="3">
        <f t="shared" si="11"/>
        <v>3996.25</v>
      </c>
      <c r="L81" s="1">
        <f t="shared" si="12"/>
        <v>1089192.9234374999</v>
      </c>
      <c r="M81" s="7">
        <f t="shared" si="13"/>
        <v>363064.30781249993</v>
      </c>
    </row>
    <row r="82" spans="1:13" x14ac:dyDescent="0.2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20321.25</v>
      </c>
      <c r="I82" s="7">
        <f t="shared" si="9"/>
        <v>738484.385625</v>
      </c>
      <c r="J82" s="7">
        <f t="shared" si="10"/>
        <v>272.55374999999998</v>
      </c>
      <c r="K82" s="3">
        <f t="shared" si="11"/>
        <v>4064.25</v>
      </c>
      <c r="L82" s="1">
        <f t="shared" si="12"/>
        <v>1107726.5784374999</v>
      </c>
      <c r="M82" s="7">
        <f t="shared" si="13"/>
        <v>369242.19281249994</v>
      </c>
    </row>
    <row r="83" spans="1:13" x14ac:dyDescent="0.2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22997.5</v>
      </c>
      <c r="I83" s="7">
        <f t="shared" si="9"/>
        <v>740335.52</v>
      </c>
      <c r="J83" s="7">
        <f t="shared" si="10"/>
        <v>241.44</v>
      </c>
      <c r="K83" s="3">
        <f t="shared" si="11"/>
        <v>4599.5</v>
      </c>
      <c r="L83" s="1">
        <f t="shared" si="12"/>
        <v>1110503.28</v>
      </c>
      <c r="M83" s="7">
        <f t="shared" si="13"/>
        <v>370167.76</v>
      </c>
    </row>
    <row r="84" spans="1:13" x14ac:dyDescent="0.2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21961.25</v>
      </c>
      <c r="I84" s="7">
        <f t="shared" si="9"/>
        <v>706976.56</v>
      </c>
      <c r="J84" s="7">
        <f t="shared" si="10"/>
        <v>241.44</v>
      </c>
      <c r="K84" s="3">
        <f t="shared" si="11"/>
        <v>4392.25</v>
      </c>
      <c r="L84" s="1">
        <f t="shared" si="12"/>
        <v>1060464.8400000001</v>
      </c>
      <c r="M84" s="7">
        <f t="shared" si="13"/>
        <v>353488.28</v>
      </c>
    </row>
    <row r="85" spans="1:13" x14ac:dyDescent="0.2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19056.25</v>
      </c>
      <c r="I85" s="7">
        <f t="shared" si="9"/>
        <v>2087888.503125</v>
      </c>
      <c r="J85" s="7">
        <f t="shared" si="10"/>
        <v>821.73374999999999</v>
      </c>
      <c r="K85" s="3">
        <f t="shared" si="11"/>
        <v>3811.25</v>
      </c>
      <c r="L85" s="1">
        <f t="shared" si="12"/>
        <v>3131832.7546874997</v>
      </c>
      <c r="M85" s="7">
        <f t="shared" si="13"/>
        <v>1043944.2515624997</v>
      </c>
    </row>
    <row r="86" spans="1:13" x14ac:dyDescent="0.2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22355</v>
      </c>
      <c r="I86" s="7">
        <f t="shared" si="9"/>
        <v>2449314.3975</v>
      </c>
      <c r="J86" s="7">
        <f t="shared" si="10"/>
        <v>821.73374999999999</v>
      </c>
      <c r="K86" s="3">
        <f t="shared" si="11"/>
        <v>4471</v>
      </c>
      <c r="L86" s="1">
        <f t="shared" si="12"/>
        <v>3673971.5962499999</v>
      </c>
      <c r="M86" s="7">
        <f t="shared" si="13"/>
        <v>1224657.19875</v>
      </c>
    </row>
    <row r="87" spans="1:13" x14ac:dyDescent="0.2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23968.75</v>
      </c>
      <c r="I87" s="7">
        <f t="shared" si="9"/>
        <v>2626124.109375</v>
      </c>
      <c r="J87" s="7">
        <f t="shared" si="10"/>
        <v>821.73374999999999</v>
      </c>
      <c r="K87" s="3">
        <f t="shared" si="11"/>
        <v>4793.75</v>
      </c>
      <c r="L87" s="1">
        <f t="shared" si="12"/>
        <v>3939186.1640625</v>
      </c>
      <c r="M87" s="7">
        <f t="shared" si="13"/>
        <v>1313062.0546875</v>
      </c>
    </row>
    <row r="88" spans="1:13" x14ac:dyDescent="0.2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19251.25</v>
      </c>
      <c r="I88" s="7">
        <f t="shared" si="9"/>
        <v>1859815.1343750001</v>
      </c>
      <c r="J88" s="7">
        <f t="shared" si="10"/>
        <v>724.55625000000009</v>
      </c>
      <c r="K88" s="3">
        <f t="shared" si="11"/>
        <v>3850.25</v>
      </c>
      <c r="L88" s="1">
        <f t="shared" si="12"/>
        <v>2789722.7015625006</v>
      </c>
      <c r="M88" s="7">
        <f t="shared" si="13"/>
        <v>929907.56718750042</v>
      </c>
    </row>
    <row r="89" spans="1:13" x14ac:dyDescent="0.2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23453.75</v>
      </c>
      <c r="I89" s="7">
        <f t="shared" si="9"/>
        <v>2265808.1531250002</v>
      </c>
      <c r="J89" s="7">
        <f t="shared" si="10"/>
        <v>724.55625000000009</v>
      </c>
      <c r="K89" s="3">
        <f t="shared" si="11"/>
        <v>4690.75</v>
      </c>
      <c r="L89" s="1">
        <f t="shared" si="12"/>
        <v>3398712.2296875003</v>
      </c>
      <c r="M89" s="7">
        <f t="shared" si="13"/>
        <v>1132904.0765625001</v>
      </c>
    </row>
    <row r="90" spans="1:13" x14ac:dyDescent="0.2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21442.5</v>
      </c>
      <c r="I90" s="7">
        <f t="shared" si="9"/>
        <v>2071506.3187500001</v>
      </c>
      <c r="J90" s="7">
        <f t="shared" si="10"/>
        <v>724.55625000000009</v>
      </c>
      <c r="K90" s="3">
        <f t="shared" si="11"/>
        <v>4288.5</v>
      </c>
      <c r="L90" s="1">
        <f t="shared" si="12"/>
        <v>3107259.4781250004</v>
      </c>
      <c r="M90" s="7">
        <f t="shared" si="13"/>
        <v>1035753.1593750003</v>
      </c>
    </row>
    <row r="91" spans="1:13" x14ac:dyDescent="0.2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21283.75</v>
      </c>
      <c r="I91" s="7">
        <f t="shared" si="9"/>
        <v>1637561.0831249999</v>
      </c>
      <c r="J91" s="7">
        <f t="shared" si="10"/>
        <v>577.04624999999999</v>
      </c>
      <c r="K91" s="3">
        <f t="shared" si="11"/>
        <v>4256.75</v>
      </c>
      <c r="L91" s="1">
        <f t="shared" si="12"/>
        <v>2456341.6246874998</v>
      </c>
      <c r="M91" s="7">
        <f t="shared" si="13"/>
        <v>818780.54156249994</v>
      </c>
    </row>
    <row r="92" spans="1:13" x14ac:dyDescent="0.2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19975</v>
      </c>
      <c r="I92" s="7">
        <f t="shared" si="9"/>
        <v>1536866.5125</v>
      </c>
      <c r="J92" s="7">
        <f t="shared" si="10"/>
        <v>577.04624999999999</v>
      </c>
      <c r="K92" s="3">
        <f t="shared" si="11"/>
        <v>3995</v>
      </c>
      <c r="L92" s="1">
        <f t="shared" si="12"/>
        <v>2305299.7687499998</v>
      </c>
      <c r="M92" s="7">
        <f t="shared" si="13"/>
        <v>768433.25624999986</v>
      </c>
    </row>
    <row r="93" spans="1:13" x14ac:dyDescent="0.2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23162.5</v>
      </c>
      <c r="I93" s="7">
        <f t="shared" si="9"/>
        <v>1782111.16875</v>
      </c>
      <c r="J93" s="7">
        <f t="shared" si="10"/>
        <v>577.04624999999999</v>
      </c>
      <c r="K93" s="3">
        <f t="shared" si="11"/>
        <v>4632.5</v>
      </c>
      <c r="L93" s="1">
        <f t="shared" si="12"/>
        <v>2673166.7531249998</v>
      </c>
      <c r="M93" s="7">
        <f t="shared" si="13"/>
        <v>891055.58437499986</v>
      </c>
    </row>
    <row r="94" spans="1:13" x14ac:dyDescent="0.2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24587.5</v>
      </c>
      <c r="I94" s="7">
        <f t="shared" si="9"/>
        <v>769158.46875</v>
      </c>
      <c r="J94" s="7">
        <f t="shared" si="10"/>
        <v>234.61874999999998</v>
      </c>
      <c r="K94" s="3">
        <f t="shared" si="11"/>
        <v>4917.5</v>
      </c>
      <c r="L94" s="1">
        <f t="shared" si="12"/>
        <v>1153737.703125</v>
      </c>
      <c r="M94" s="7">
        <f t="shared" si="13"/>
        <v>384579.234375</v>
      </c>
    </row>
    <row r="95" spans="1:13" x14ac:dyDescent="0.2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21162.5</v>
      </c>
      <c r="I95" s="7">
        <f t="shared" si="9"/>
        <v>775690.27500000002</v>
      </c>
      <c r="J95" s="7">
        <f t="shared" si="10"/>
        <v>274.90500000000003</v>
      </c>
      <c r="K95" s="3">
        <f t="shared" si="11"/>
        <v>4232.5</v>
      </c>
      <c r="L95" s="1">
        <f t="shared" si="12"/>
        <v>1163535.4125000001</v>
      </c>
      <c r="M95" s="7">
        <f t="shared" si="13"/>
        <v>387845.13750000007</v>
      </c>
    </row>
    <row r="96" spans="1:13" x14ac:dyDescent="0.2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19460</v>
      </c>
      <c r="I96" s="7">
        <f t="shared" si="9"/>
        <v>608757.44999999995</v>
      </c>
      <c r="J96" s="7">
        <f t="shared" si="10"/>
        <v>234.61874999999998</v>
      </c>
      <c r="K96" s="3">
        <f t="shared" si="11"/>
        <v>3892</v>
      </c>
      <c r="L96" s="1">
        <f t="shared" si="12"/>
        <v>913136.17499999993</v>
      </c>
      <c r="M96" s="7">
        <f t="shared" si="13"/>
        <v>304378.72499999998</v>
      </c>
    </row>
    <row r="97" spans="1:13" x14ac:dyDescent="0.2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19200</v>
      </c>
      <c r="I97" s="7">
        <f t="shared" si="9"/>
        <v>82377.600000000006</v>
      </c>
      <c r="J97" s="7">
        <f t="shared" si="10"/>
        <v>32.178750000000001</v>
      </c>
      <c r="K97" s="3">
        <f t="shared" si="11"/>
        <v>3840</v>
      </c>
      <c r="L97" s="1">
        <f t="shared" si="12"/>
        <v>123566.40000000001</v>
      </c>
      <c r="M97" s="7">
        <f t="shared" si="13"/>
        <v>41188.800000000003</v>
      </c>
    </row>
    <row r="98" spans="1:13" x14ac:dyDescent="0.2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19408.75</v>
      </c>
      <c r="I98" s="7">
        <f t="shared" si="9"/>
        <v>95025.24</v>
      </c>
      <c r="J98" s="7">
        <f t="shared" si="10"/>
        <v>36.72</v>
      </c>
      <c r="K98" s="3">
        <f t="shared" si="11"/>
        <v>3881.75</v>
      </c>
      <c r="L98" s="1">
        <f t="shared" si="12"/>
        <v>142537.85999999999</v>
      </c>
      <c r="M98" s="7">
        <f t="shared" si="13"/>
        <v>47512.619999999981</v>
      </c>
    </row>
    <row r="99" spans="1:13" x14ac:dyDescent="0.2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23018.75</v>
      </c>
      <c r="I99" s="7">
        <f t="shared" si="9"/>
        <v>140287.77187500001</v>
      </c>
      <c r="J99" s="7">
        <f t="shared" si="10"/>
        <v>45.708750000000002</v>
      </c>
      <c r="K99" s="3">
        <f t="shared" si="11"/>
        <v>4603.75</v>
      </c>
      <c r="L99" s="1">
        <f t="shared" si="12"/>
        <v>210431.65781250002</v>
      </c>
      <c r="M99" s="7">
        <f t="shared" si="13"/>
        <v>70143.885937500017</v>
      </c>
    </row>
    <row r="100" spans="1:13" x14ac:dyDescent="0.2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19848.75</v>
      </c>
      <c r="I100" s="7">
        <f t="shared" si="9"/>
        <v>34913.951249999998</v>
      </c>
      <c r="J100" s="7">
        <f t="shared" si="10"/>
        <v>13.192499999999999</v>
      </c>
      <c r="K100" s="3">
        <f t="shared" si="11"/>
        <v>3969.75</v>
      </c>
      <c r="L100" s="1">
        <f t="shared" si="12"/>
        <v>52370.926874999997</v>
      </c>
      <c r="M100" s="7">
        <f t="shared" si="13"/>
        <v>17456.975624999999</v>
      </c>
    </row>
    <row r="101" spans="1:13" x14ac:dyDescent="0.2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20847.5</v>
      </c>
      <c r="I101" s="7">
        <f t="shared" si="9"/>
        <v>68192.172500000001</v>
      </c>
      <c r="J101" s="7">
        <f t="shared" si="10"/>
        <v>24.532499999999999</v>
      </c>
      <c r="K101" s="3">
        <f t="shared" si="11"/>
        <v>4169.5</v>
      </c>
      <c r="L101" s="1">
        <f t="shared" si="12"/>
        <v>102288.25874999999</v>
      </c>
      <c r="M101" s="7">
        <f t="shared" si="13"/>
        <v>34096.086249999993</v>
      </c>
    </row>
    <row r="102" spans="1:13" x14ac:dyDescent="0.2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23397.5</v>
      </c>
      <c r="I102" s="7">
        <f t="shared" si="9"/>
        <v>88185.177500000005</v>
      </c>
      <c r="J102" s="7">
        <f t="shared" si="10"/>
        <v>28.267499999999998</v>
      </c>
      <c r="K102" s="3">
        <f t="shared" si="11"/>
        <v>4679.5</v>
      </c>
      <c r="L102" s="1">
        <f t="shared" si="12"/>
        <v>132277.76624999999</v>
      </c>
      <c r="M102" s="7">
        <f t="shared" si="13"/>
        <v>44092.588749999981</v>
      </c>
    </row>
    <row r="103" spans="1:13" x14ac:dyDescent="0.2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19603.75</v>
      </c>
      <c r="I103" s="7">
        <f t="shared" si="9"/>
        <v>37227.521250000005</v>
      </c>
      <c r="J103" s="7">
        <f t="shared" si="10"/>
        <v>14.242500000000001</v>
      </c>
      <c r="K103" s="3">
        <f t="shared" si="11"/>
        <v>3920.75</v>
      </c>
      <c r="L103" s="1">
        <f t="shared" si="12"/>
        <v>55841.281875000008</v>
      </c>
      <c r="M103" s="7">
        <f t="shared" si="13"/>
        <v>18613.760625000003</v>
      </c>
    </row>
    <row r="104" spans="1:13" x14ac:dyDescent="0.2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23171.25</v>
      </c>
      <c r="I104" s="7">
        <f t="shared" si="9"/>
        <v>46087.616250000006</v>
      </c>
      <c r="J104" s="7">
        <f t="shared" si="10"/>
        <v>14.9175</v>
      </c>
      <c r="K104" s="3">
        <f t="shared" si="11"/>
        <v>4634.25</v>
      </c>
      <c r="L104" s="1">
        <f t="shared" si="12"/>
        <v>69131.424375000002</v>
      </c>
      <c r="M104" s="7">
        <f t="shared" si="13"/>
        <v>23043.808124999996</v>
      </c>
    </row>
    <row r="105" spans="1:13" x14ac:dyDescent="0.2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23171.25</v>
      </c>
      <c r="I105" s="7">
        <f t="shared" si="9"/>
        <v>85038.487499999988</v>
      </c>
      <c r="J105" s="7">
        <f t="shared" si="10"/>
        <v>27.525000000000002</v>
      </c>
      <c r="K105" s="3">
        <f t="shared" si="11"/>
        <v>4634.25</v>
      </c>
      <c r="L105" s="1">
        <f t="shared" si="12"/>
        <v>127557.73125000001</v>
      </c>
      <c r="M105" s="7">
        <f t="shared" si="13"/>
        <v>42519.243750000023</v>
      </c>
    </row>
    <row r="106" spans="1:13" x14ac:dyDescent="0.2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20195</v>
      </c>
      <c r="I106" s="7">
        <f t="shared" si="9"/>
        <v>38350.305</v>
      </c>
      <c r="J106" s="7">
        <f t="shared" si="10"/>
        <v>14.242500000000001</v>
      </c>
      <c r="K106" s="3">
        <f t="shared" si="11"/>
        <v>4039</v>
      </c>
      <c r="L106" s="1">
        <f t="shared" si="12"/>
        <v>57525.457500000004</v>
      </c>
      <c r="M106" s="7">
        <f t="shared" si="13"/>
        <v>19175.152500000004</v>
      </c>
    </row>
    <row r="107" spans="1:13" x14ac:dyDescent="0.2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22971.25</v>
      </c>
      <c r="I107" s="7">
        <f t="shared" si="9"/>
        <v>45689.816250000003</v>
      </c>
      <c r="J107" s="7">
        <f t="shared" si="10"/>
        <v>14.9175</v>
      </c>
      <c r="K107" s="3">
        <f t="shared" si="11"/>
        <v>4594.25</v>
      </c>
      <c r="L107" s="1">
        <f t="shared" si="12"/>
        <v>68534.724375000005</v>
      </c>
      <c r="M107" s="7">
        <f t="shared" si="13"/>
        <v>22844.908125000002</v>
      </c>
    </row>
    <row r="108" spans="1:13" x14ac:dyDescent="0.2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20266.25</v>
      </c>
      <c r="I108" s="7">
        <f t="shared" si="9"/>
        <v>324381.59750000003</v>
      </c>
      <c r="J108" s="7">
        <f t="shared" si="10"/>
        <v>120.045</v>
      </c>
      <c r="K108" s="3">
        <f t="shared" si="11"/>
        <v>4053.25</v>
      </c>
      <c r="L108" s="1">
        <f t="shared" si="12"/>
        <v>486572.39624999999</v>
      </c>
      <c r="M108" s="7">
        <f t="shared" si="13"/>
        <v>162190.79874999996</v>
      </c>
    </row>
    <row r="109" spans="1:13" x14ac:dyDescent="0.2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19810</v>
      </c>
      <c r="I109" s="7">
        <f t="shared" si="9"/>
        <v>317078.86</v>
      </c>
      <c r="J109" s="7">
        <f t="shared" si="10"/>
        <v>120.045</v>
      </c>
      <c r="K109" s="3">
        <f t="shared" si="11"/>
        <v>3962</v>
      </c>
      <c r="L109" s="1">
        <f t="shared" si="12"/>
        <v>475618.29</v>
      </c>
      <c r="M109" s="7">
        <f t="shared" si="13"/>
        <v>158539.43</v>
      </c>
    </row>
    <row r="110" spans="1:13" x14ac:dyDescent="0.2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22642.5</v>
      </c>
      <c r="I110" s="7">
        <f t="shared" si="9"/>
        <v>81014.865000000005</v>
      </c>
      <c r="J110" s="7">
        <f t="shared" si="10"/>
        <v>26.835000000000001</v>
      </c>
      <c r="K110" s="3">
        <f t="shared" si="11"/>
        <v>4528.5</v>
      </c>
      <c r="L110" s="1">
        <f t="shared" si="12"/>
        <v>121522.2975</v>
      </c>
      <c r="M110" s="7">
        <f t="shared" si="13"/>
        <v>40507.432499999995</v>
      </c>
    </row>
    <row r="111" spans="1:13" x14ac:dyDescent="0.2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23443.75</v>
      </c>
      <c r="I111" s="7">
        <f t="shared" si="9"/>
        <v>35529.003125000003</v>
      </c>
      <c r="J111" s="7">
        <f t="shared" si="10"/>
        <v>11.366250000000001</v>
      </c>
      <c r="K111" s="3">
        <f t="shared" si="11"/>
        <v>4688.75</v>
      </c>
      <c r="L111" s="1">
        <f t="shared" si="12"/>
        <v>53293.504687500004</v>
      </c>
      <c r="M111" s="7">
        <f t="shared" si="13"/>
        <v>17764.501562500001</v>
      </c>
    </row>
    <row r="112" spans="1:13" x14ac:dyDescent="0.2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21636.25</v>
      </c>
      <c r="I112" s="7">
        <f t="shared" si="9"/>
        <v>30561.203125</v>
      </c>
      <c r="J112" s="7">
        <f t="shared" si="10"/>
        <v>10.59375</v>
      </c>
      <c r="K112" s="3">
        <f t="shared" si="11"/>
        <v>4327.25</v>
      </c>
      <c r="L112" s="1">
        <f t="shared" si="12"/>
        <v>45841.8046875</v>
      </c>
      <c r="M112" s="7">
        <f t="shared" si="13"/>
        <v>15280.6015625</v>
      </c>
    </row>
    <row r="113" spans="1:13" x14ac:dyDescent="0.2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19160</v>
      </c>
      <c r="I113" s="7">
        <f t="shared" si="9"/>
        <v>29036.980000000003</v>
      </c>
      <c r="J113" s="7">
        <f t="shared" si="10"/>
        <v>11.366250000000001</v>
      </c>
      <c r="K113" s="3">
        <f t="shared" si="11"/>
        <v>3832</v>
      </c>
      <c r="L113" s="1">
        <f t="shared" si="12"/>
        <v>43555.47</v>
      </c>
      <c r="M113" s="7">
        <f t="shared" si="13"/>
        <v>14518.489999999998</v>
      </c>
    </row>
    <row r="114" spans="1:13" x14ac:dyDescent="0.2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20381.25</v>
      </c>
      <c r="I114" s="7">
        <f t="shared" si="9"/>
        <v>26261.240624999999</v>
      </c>
      <c r="J114" s="7">
        <f t="shared" si="10"/>
        <v>9.6637500000000003</v>
      </c>
      <c r="K114" s="3">
        <f t="shared" si="11"/>
        <v>4076.25</v>
      </c>
      <c r="L114" s="1">
        <f t="shared" si="12"/>
        <v>39391.860937500001</v>
      </c>
      <c r="M114" s="7">
        <f t="shared" si="13"/>
        <v>13130.620312500003</v>
      </c>
    </row>
    <row r="115" spans="1:13" x14ac:dyDescent="0.2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19190</v>
      </c>
      <c r="I115" s="7">
        <f t="shared" si="9"/>
        <v>33035.584999999999</v>
      </c>
      <c r="J115" s="7">
        <f t="shared" si="10"/>
        <v>12.911249999999999</v>
      </c>
      <c r="K115" s="3">
        <f t="shared" si="11"/>
        <v>3838</v>
      </c>
      <c r="L115" s="1">
        <f t="shared" si="12"/>
        <v>49553.377499999995</v>
      </c>
      <c r="M115" s="7">
        <f t="shared" si="13"/>
        <v>16517.792499999996</v>
      </c>
    </row>
    <row r="116" spans="1:13" x14ac:dyDescent="0.2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23925</v>
      </c>
      <c r="I116" s="7">
        <f t="shared" si="9"/>
        <v>46127.399999999994</v>
      </c>
      <c r="J116" s="7">
        <f t="shared" si="10"/>
        <v>14.46</v>
      </c>
      <c r="K116" s="3">
        <f t="shared" si="11"/>
        <v>4785</v>
      </c>
      <c r="L116" s="1">
        <f t="shared" si="12"/>
        <v>69191.100000000006</v>
      </c>
      <c r="M116" s="7">
        <f t="shared" si="13"/>
        <v>23063.700000000012</v>
      </c>
    </row>
    <row r="117" spans="1:13" x14ac:dyDescent="0.2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24510</v>
      </c>
      <c r="I117" s="7">
        <f t="shared" si="9"/>
        <v>70000.56</v>
      </c>
      <c r="J117" s="7">
        <f t="shared" si="10"/>
        <v>21.419999999999998</v>
      </c>
      <c r="K117" s="3">
        <f t="shared" si="11"/>
        <v>4902</v>
      </c>
      <c r="L117" s="1">
        <f t="shared" si="12"/>
        <v>105000.84</v>
      </c>
      <c r="M117" s="7">
        <f t="shared" si="13"/>
        <v>35000.28</v>
      </c>
    </row>
    <row r="118" spans="1:13" x14ac:dyDescent="0.2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21582.5</v>
      </c>
      <c r="I118" s="7">
        <f t="shared" si="9"/>
        <v>61639.619999999995</v>
      </c>
      <c r="J118" s="7">
        <f t="shared" si="10"/>
        <v>21.419999999999998</v>
      </c>
      <c r="K118" s="3">
        <f t="shared" si="11"/>
        <v>4316.5</v>
      </c>
      <c r="L118" s="1">
        <f t="shared" si="12"/>
        <v>92459.43</v>
      </c>
      <c r="M118" s="7">
        <f t="shared" si="13"/>
        <v>30819.809999999998</v>
      </c>
    </row>
    <row r="119" spans="1:13" x14ac:dyDescent="0.2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23308.75</v>
      </c>
      <c r="I119" s="7">
        <f t="shared" si="9"/>
        <v>66569.789999999994</v>
      </c>
      <c r="J119" s="7">
        <f t="shared" si="10"/>
        <v>21.419999999999998</v>
      </c>
      <c r="K119" s="3">
        <f t="shared" si="11"/>
        <v>4661.75</v>
      </c>
      <c r="L119" s="1">
        <f t="shared" si="12"/>
        <v>99854.684999999998</v>
      </c>
      <c r="M119" s="7">
        <f t="shared" si="13"/>
        <v>33284.895000000004</v>
      </c>
    </row>
    <row r="120" spans="1:13" x14ac:dyDescent="0.2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18971.25</v>
      </c>
      <c r="I120" s="7">
        <f t="shared" si="9"/>
        <v>41499.609375</v>
      </c>
      <c r="J120" s="7">
        <f t="shared" si="10"/>
        <v>16.40625</v>
      </c>
      <c r="K120" s="3">
        <f t="shared" si="11"/>
        <v>3794.25</v>
      </c>
      <c r="L120" s="1">
        <f t="shared" si="12"/>
        <v>62249.4140625</v>
      </c>
      <c r="M120" s="7">
        <f t="shared" si="13"/>
        <v>20749.8046875</v>
      </c>
    </row>
    <row r="121" spans="1:13" x14ac:dyDescent="0.2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24065</v>
      </c>
      <c r="I121" s="7">
        <f t="shared" si="9"/>
        <v>52642.1875</v>
      </c>
      <c r="J121" s="7">
        <f t="shared" si="10"/>
        <v>16.40625</v>
      </c>
      <c r="K121" s="3">
        <f t="shared" si="11"/>
        <v>4813</v>
      </c>
      <c r="L121" s="1">
        <f t="shared" si="12"/>
        <v>78963.28125</v>
      </c>
      <c r="M121" s="7">
        <f t="shared" si="13"/>
        <v>26321.09375</v>
      </c>
    </row>
    <row r="122" spans="1:13" x14ac:dyDescent="0.2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23278.75</v>
      </c>
      <c r="I122" s="7">
        <f t="shared" si="9"/>
        <v>50922.265625</v>
      </c>
      <c r="J122" s="7">
        <f t="shared" si="10"/>
        <v>16.40625</v>
      </c>
      <c r="K122" s="3">
        <f t="shared" si="11"/>
        <v>4655.75</v>
      </c>
      <c r="L122" s="1">
        <f t="shared" si="12"/>
        <v>76383.3984375</v>
      </c>
      <c r="M122" s="7">
        <f t="shared" si="13"/>
        <v>25461.1328125</v>
      </c>
    </row>
    <row r="123" spans="1:13" x14ac:dyDescent="0.2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19227.5</v>
      </c>
      <c r="I123" s="7">
        <f t="shared" si="9"/>
        <v>21025.271250000002</v>
      </c>
      <c r="J123" s="7">
        <f t="shared" si="10"/>
        <v>8.2012499999999999</v>
      </c>
      <c r="K123" s="3">
        <f t="shared" si="11"/>
        <v>3845.5</v>
      </c>
      <c r="L123" s="1">
        <f t="shared" si="12"/>
        <v>31537.906875000001</v>
      </c>
      <c r="M123" s="7">
        <f t="shared" si="13"/>
        <v>10512.635624999999</v>
      </c>
    </row>
    <row r="124" spans="1:13" x14ac:dyDescent="0.2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21913.75</v>
      </c>
      <c r="I124" s="7">
        <f t="shared" si="9"/>
        <v>26011.62125</v>
      </c>
      <c r="J124" s="7">
        <f t="shared" si="10"/>
        <v>8.9024999999999999</v>
      </c>
      <c r="K124" s="3">
        <f t="shared" si="11"/>
        <v>4382.75</v>
      </c>
      <c r="L124" s="1">
        <f t="shared" si="12"/>
        <v>39017.431875000002</v>
      </c>
      <c r="M124" s="7">
        <f t="shared" si="13"/>
        <v>13005.810625000002</v>
      </c>
    </row>
    <row r="125" spans="1:13" x14ac:dyDescent="0.2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18806.25</v>
      </c>
      <c r="I125" s="7">
        <f t="shared" si="9"/>
        <v>21965.7</v>
      </c>
      <c r="J125" s="7">
        <f t="shared" si="10"/>
        <v>8.76</v>
      </c>
      <c r="K125" s="3">
        <f t="shared" si="11"/>
        <v>3761.25</v>
      </c>
      <c r="L125" s="1">
        <f t="shared" si="12"/>
        <v>32948.549999999996</v>
      </c>
      <c r="M125" s="7">
        <f t="shared" si="13"/>
        <v>10982.849999999995</v>
      </c>
    </row>
    <row r="126" spans="1:13" x14ac:dyDescent="0.2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19815</v>
      </c>
      <c r="I126" s="7">
        <f t="shared" si="9"/>
        <v>20667.044999999998</v>
      </c>
      <c r="J126" s="7">
        <f t="shared" si="10"/>
        <v>7.8224999999999998</v>
      </c>
      <c r="K126" s="3">
        <f t="shared" si="11"/>
        <v>3963</v>
      </c>
      <c r="L126" s="1">
        <f t="shared" si="12"/>
        <v>31000.567499999997</v>
      </c>
      <c r="M126" s="7">
        <f t="shared" si="13"/>
        <v>10333.522499999999</v>
      </c>
    </row>
    <row r="127" spans="1:13" x14ac:dyDescent="0.2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24451.25</v>
      </c>
      <c r="I127" s="7">
        <f t="shared" si="9"/>
        <v>28559.059999999998</v>
      </c>
      <c r="J127" s="7">
        <f t="shared" si="10"/>
        <v>8.76</v>
      </c>
      <c r="K127" s="3">
        <f t="shared" si="11"/>
        <v>4890.25</v>
      </c>
      <c r="L127" s="1">
        <f t="shared" si="12"/>
        <v>42838.59</v>
      </c>
      <c r="M127" s="7">
        <f t="shared" si="13"/>
        <v>14279.529999999999</v>
      </c>
    </row>
    <row r="128" spans="1:13" x14ac:dyDescent="0.2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23656.25</v>
      </c>
      <c r="I128" s="7">
        <f t="shared" si="9"/>
        <v>27630.5</v>
      </c>
      <c r="J128" s="7">
        <f t="shared" si="10"/>
        <v>8.76</v>
      </c>
      <c r="K128" s="3">
        <f t="shared" si="11"/>
        <v>4731.25</v>
      </c>
      <c r="L128" s="1">
        <f t="shared" si="12"/>
        <v>41445.75</v>
      </c>
      <c r="M128" s="7">
        <f t="shared" si="13"/>
        <v>13815.25</v>
      </c>
    </row>
    <row r="129" spans="1:13" x14ac:dyDescent="0.2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24966.25</v>
      </c>
      <c r="I129" s="7">
        <f t="shared" si="9"/>
        <v>80990.515000000014</v>
      </c>
      <c r="J129" s="7">
        <f t="shared" si="10"/>
        <v>24.33</v>
      </c>
      <c r="K129" s="3">
        <f t="shared" si="11"/>
        <v>4993.25</v>
      </c>
      <c r="L129" s="1">
        <f t="shared" si="12"/>
        <v>121485.77249999999</v>
      </c>
      <c r="M129" s="7">
        <f t="shared" si="13"/>
        <v>40495.257499999978</v>
      </c>
    </row>
    <row r="130" spans="1:13" x14ac:dyDescent="0.2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22698.75</v>
      </c>
      <c r="I130" s="7">
        <f t="shared" si="9"/>
        <v>26069.514374999999</v>
      </c>
      <c r="J130" s="7">
        <f t="shared" si="10"/>
        <v>8.6137499999999996</v>
      </c>
      <c r="K130" s="3">
        <f t="shared" si="11"/>
        <v>4539.75</v>
      </c>
      <c r="L130" s="1">
        <f t="shared" si="12"/>
        <v>39104.271562499998</v>
      </c>
      <c r="M130" s="7">
        <f t="shared" si="13"/>
        <v>13034.757187499999</v>
      </c>
    </row>
    <row r="131" spans="1:13" x14ac:dyDescent="0.2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19145</v>
      </c>
      <c r="I131" s="7">
        <f t="shared" si="9"/>
        <v>27013.595000000001</v>
      </c>
      <c r="J131" s="7">
        <f t="shared" si="10"/>
        <v>10.5825</v>
      </c>
      <c r="K131" s="3">
        <f t="shared" si="11"/>
        <v>3829</v>
      </c>
      <c r="L131" s="1">
        <f t="shared" si="12"/>
        <v>40520.392500000002</v>
      </c>
      <c r="M131" s="7">
        <f t="shared" si="13"/>
        <v>13506.797500000001</v>
      </c>
    </row>
    <row r="132" spans="1:13" x14ac:dyDescent="0.2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20638.75</v>
      </c>
      <c r="I132" s="7">
        <f t="shared" si="9"/>
        <v>82008.073124999995</v>
      </c>
      <c r="J132" s="7">
        <f t="shared" si="10"/>
        <v>29.80125</v>
      </c>
      <c r="K132" s="3">
        <f t="shared" si="11"/>
        <v>4127.75</v>
      </c>
      <c r="L132" s="1">
        <f t="shared" si="12"/>
        <v>123012.10968749999</v>
      </c>
      <c r="M132" s="7">
        <f t="shared" si="13"/>
        <v>41004.036562499998</v>
      </c>
    </row>
    <row r="133" spans="1:13" x14ac:dyDescent="0.2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>
        <f t="shared" ref="G133:G196" si="14">E133*F133</f>
        <v>24885.843124999999</v>
      </c>
      <c r="H133" s="7">
        <f t="shared" ref="H133:H196" si="15">F133*$P$1</f>
        <v>24196.25</v>
      </c>
      <c r="I133" s="7">
        <f t="shared" ref="I133:I196" si="16">G133+H133</f>
        <v>49082.093124999999</v>
      </c>
      <c r="J133" s="7">
        <f t="shared" ref="J133:J196" si="17">(E133+$P$1)*1.5</f>
        <v>15.213750000000001</v>
      </c>
      <c r="K133" s="3">
        <f t="shared" ref="K133:K196" si="18">F133</f>
        <v>4839.25</v>
      </c>
      <c r="L133" s="1">
        <f t="shared" ref="L133:L196" si="19">K133*J133</f>
        <v>73623.139687500006</v>
      </c>
      <c r="M133" s="7">
        <f t="shared" ref="M133:M196" si="20">L133-I133</f>
        <v>24541.046562500007</v>
      </c>
    </row>
    <row r="134" spans="1:13" x14ac:dyDescent="0.2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22772.5</v>
      </c>
      <c r="I134" s="7">
        <f t="shared" si="16"/>
        <v>70105.141250000001</v>
      </c>
      <c r="J134" s="7">
        <f t="shared" si="17"/>
        <v>23.088750000000001</v>
      </c>
      <c r="K134" s="3">
        <f t="shared" si="18"/>
        <v>4554.5</v>
      </c>
      <c r="L134" s="1">
        <f t="shared" si="19"/>
        <v>105157.71187500001</v>
      </c>
      <c r="M134" s="7">
        <f t="shared" si="20"/>
        <v>35052.570625000008</v>
      </c>
    </row>
    <row r="135" spans="1:13" x14ac:dyDescent="0.2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20355</v>
      </c>
      <c r="I135" s="7">
        <f t="shared" si="16"/>
        <v>62662.8675</v>
      </c>
      <c r="J135" s="7">
        <f t="shared" si="17"/>
        <v>23.088750000000001</v>
      </c>
      <c r="K135" s="3">
        <f t="shared" si="18"/>
        <v>4071</v>
      </c>
      <c r="L135" s="1">
        <f t="shared" si="19"/>
        <v>93994.301250000004</v>
      </c>
      <c r="M135" s="7">
        <f t="shared" si="20"/>
        <v>31331.433750000004</v>
      </c>
    </row>
    <row r="136" spans="1:13" x14ac:dyDescent="0.2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20415</v>
      </c>
      <c r="I136" s="7">
        <f t="shared" si="16"/>
        <v>62847.577499999999</v>
      </c>
      <c r="J136" s="7">
        <f t="shared" si="17"/>
        <v>23.088750000000001</v>
      </c>
      <c r="K136" s="3">
        <f t="shared" si="18"/>
        <v>4083</v>
      </c>
      <c r="L136" s="1">
        <f t="shared" si="19"/>
        <v>94271.366250000006</v>
      </c>
      <c r="M136" s="7">
        <f t="shared" si="20"/>
        <v>31423.788750000007</v>
      </c>
    </row>
    <row r="137" spans="1:13" x14ac:dyDescent="0.2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19581.25</v>
      </c>
      <c r="I137" s="7">
        <f t="shared" si="16"/>
        <v>60280.878125000003</v>
      </c>
      <c r="J137" s="7">
        <f t="shared" si="17"/>
        <v>23.088750000000001</v>
      </c>
      <c r="K137" s="3">
        <f t="shared" si="18"/>
        <v>3916.25</v>
      </c>
      <c r="L137" s="1">
        <f t="shared" si="19"/>
        <v>90421.317187499997</v>
      </c>
      <c r="M137" s="7">
        <f t="shared" si="20"/>
        <v>30140.439062499994</v>
      </c>
    </row>
    <row r="138" spans="1:13" x14ac:dyDescent="0.2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21121.25</v>
      </c>
      <c r="I138" s="7">
        <f t="shared" si="16"/>
        <v>656596.29874999996</v>
      </c>
      <c r="J138" s="7">
        <f t="shared" si="17"/>
        <v>233.1525</v>
      </c>
      <c r="K138" s="3">
        <f t="shared" si="18"/>
        <v>4224.25</v>
      </c>
      <c r="L138" s="1">
        <f t="shared" si="19"/>
        <v>984894.448125</v>
      </c>
      <c r="M138" s="7">
        <f t="shared" si="20"/>
        <v>328298.14937500004</v>
      </c>
    </row>
    <row r="139" spans="1:13" x14ac:dyDescent="0.2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19626.25</v>
      </c>
      <c r="I139" s="7">
        <f t="shared" si="16"/>
        <v>215741.55312500001</v>
      </c>
      <c r="J139" s="7">
        <f t="shared" si="17"/>
        <v>82.443749999999994</v>
      </c>
      <c r="K139" s="3">
        <f t="shared" si="18"/>
        <v>3925.25</v>
      </c>
      <c r="L139" s="1">
        <f t="shared" si="19"/>
        <v>323612.32968749997</v>
      </c>
      <c r="M139" s="7">
        <f t="shared" si="20"/>
        <v>107870.77656249996</v>
      </c>
    </row>
    <row r="140" spans="1:13" x14ac:dyDescent="0.2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21263.75</v>
      </c>
      <c r="I140" s="7">
        <f t="shared" si="16"/>
        <v>661026.19625000004</v>
      </c>
      <c r="J140" s="7">
        <f t="shared" si="17"/>
        <v>233.1525</v>
      </c>
      <c r="K140" s="3">
        <f t="shared" si="18"/>
        <v>4252.75</v>
      </c>
      <c r="L140" s="1">
        <f t="shared" si="19"/>
        <v>991539.29437500006</v>
      </c>
      <c r="M140" s="7">
        <f t="shared" si="20"/>
        <v>330513.09812500002</v>
      </c>
    </row>
    <row r="141" spans="1:13" x14ac:dyDescent="0.2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21541.25</v>
      </c>
      <c r="I141" s="7">
        <f t="shared" si="16"/>
        <v>669652.83875</v>
      </c>
      <c r="J141" s="7">
        <f t="shared" si="17"/>
        <v>233.1525</v>
      </c>
      <c r="K141" s="3">
        <f t="shared" si="18"/>
        <v>4308.25</v>
      </c>
      <c r="L141" s="1">
        <f t="shared" si="19"/>
        <v>1004479.2581250001</v>
      </c>
      <c r="M141" s="7">
        <f t="shared" si="20"/>
        <v>334826.41937500006</v>
      </c>
    </row>
    <row r="142" spans="1:13" x14ac:dyDescent="0.2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19065</v>
      </c>
      <c r="I142" s="7">
        <f t="shared" si="16"/>
        <v>592673.65500000003</v>
      </c>
      <c r="J142" s="7">
        <f t="shared" si="17"/>
        <v>233.1525</v>
      </c>
      <c r="K142" s="3">
        <f t="shared" si="18"/>
        <v>3813</v>
      </c>
      <c r="L142" s="1">
        <f t="shared" si="19"/>
        <v>889010.48250000004</v>
      </c>
      <c r="M142" s="7">
        <f t="shared" si="20"/>
        <v>296336.82750000001</v>
      </c>
    </row>
    <row r="143" spans="1:13" x14ac:dyDescent="0.2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23627.5</v>
      </c>
      <c r="I143" s="7">
        <f t="shared" si="16"/>
        <v>87339.053749999992</v>
      </c>
      <c r="J143" s="7">
        <f t="shared" si="17"/>
        <v>27.723750000000003</v>
      </c>
      <c r="K143" s="3">
        <f t="shared" si="18"/>
        <v>4725.5</v>
      </c>
      <c r="L143" s="1">
        <f t="shared" si="19"/>
        <v>131008.58062500002</v>
      </c>
      <c r="M143" s="7">
        <f t="shared" si="20"/>
        <v>43669.526875000025</v>
      </c>
    </row>
    <row r="144" spans="1:13" x14ac:dyDescent="0.2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24440</v>
      </c>
      <c r="I144" s="7">
        <f t="shared" si="16"/>
        <v>268656.69999999995</v>
      </c>
      <c r="J144" s="7">
        <f t="shared" si="17"/>
        <v>82.443749999999994</v>
      </c>
      <c r="K144" s="3">
        <f t="shared" si="18"/>
        <v>4888</v>
      </c>
      <c r="L144" s="1">
        <f t="shared" si="19"/>
        <v>402985.05</v>
      </c>
      <c r="M144" s="7">
        <f t="shared" si="20"/>
        <v>134328.35000000003</v>
      </c>
    </row>
    <row r="145" spans="1:13" x14ac:dyDescent="0.2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24886.25</v>
      </c>
      <c r="I145" s="7">
        <f t="shared" si="16"/>
        <v>272977.27625</v>
      </c>
      <c r="J145" s="7">
        <f t="shared" si="17"/>
        <v>82.267499999999998</v>
      </c>
      <c r="K145" s="3">
        <f t="shared" si="18"/>
        <v>4977.25</v>
      </c>
      <c r="L145" s="1">
        <f t="shared" si="19"/>
        <v>409465.91437499999</v>
      </c>
      <c r="M145" s="7">
        <f t="shared" si="20"/>
        <v>136488.638125</v>
      </c>
    </row>
    <row r="146" spans="1:13" x14ac:dyDescent="0.2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23037.5</v>
      </c>
      <c r="I146" s="7">
        <f t="shared" si="16"/>
        <v>252698.33749999999</v>
      </c>
      <c r="J146" s="7">
        <f t="shared" si="17"/>
        <v>82.267499999999998</v>
      </c>
      <c r="K146" s="3">
        <f t="shared" si="18"/>
        <v>4607.5</v>
      </c>
      <c r="L146" s="1">
        <f t="shared" si="19"/>
        <v>379047.50624999998</v>
      </c>
      <c r="M146" s="7">
        <f t="shared" si="20"/>
        <v>126349.16874999998</v>
      </c>
    </row>
    <row r="147" spans="1:13" x14ac:dyDescent="0.2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20498.75</v>
      </c>
      <c r="I147" s="7">
        <f t="shared" si="16"/>
        <v>224850.78875000001</v>
      </c>
      <c r="J147" s="7">
        <f t="shared" si="17"/>
        <v>82.267499999999998</v>
      </c>
      <c r="K147" s="3">
        <f t="shared" si="18"/>
        <v>4099.75</v>
      </c>
      <c r="L147" s="1">
        <f t="shared" si="19"/>
        <v>337276.18312499998</v>
      </c>
      <c r="M147" s="7">
        <f t="shared" si="20"/>
        <v>112425.39437499997</v>
      </c>
    </row>
    <row r="148" spans="1:13" x14ac:dyDescent="0.2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19485</v>
      </c>
      <c r="I148" s="7">
        <f t="shared" si="16"/>
        <v>65557.282500000001</v>
      </c>
      <c r="J148" s="7">
        <f t="shared" si="17"/>
        <v>25.233749999999997</v>
      </c>
      <c r="K148" s="3">
        <f t="shared" si="18"/>
        <v>3897</v>
      </c>
      <c r="L148" s="1">
        <f t="shared" si="19"/>
        <v>98335.923749999987</v>
      </c>
      <c r="M148" s="7">
        <f t="shared" si="20"/>
        <v>32778.641249999986</v>
      </c>
    </row>
    <row r="149" spans="1:13" x14ac:dyDescent="0.2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24591.25</v>
      </c>
      <c r="I149" s="7">
        <f t="shared" si="16"/>
        <v>39395.182499999995</v>
      </c>
      <c r="J149" s="7">
        <f t="shared" si="17"/>
        <v>12.015000000000001</v>
      </c>
      <c r="K149" s="3">
        <f t="shared" si="18"/>
        <v>4918.25</v>
      </c>
      <c r="L149" s="1">
        <f t="shared" si="19"/>
        <v>59092.77375</v>
      </c>
      <c r="M149" s="7">
        <f t="shared" si="20"/>
        <v>19697.591250000005</v>
      </c>
    </row>
    <row r="150" spans="1:13" x14ac:dyDescent="0.2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20551.25</v>
      </c>
      <c r="I150" s="7">
        <f t="shared" si="16"/>
        <v>38410.286249999997</v>
      </c>
      <c r="J150" s="7">
        <f t="shared" si="17"/>
        <v>14.017499999999998</v>
      </c>
      <c r="K150" s="3">
        <f t="shared" si="18"/>
        <v>4110.25</v>
      </c>
      <c r="L150" s="1">
        <f t="shared" si="19"/>
        <v>57615.429374999992</v>
      </c>
      <c r="M150" s="7">
        <f t="shared" si="20"/>
        <v>19205.143124999995</v>
      </c>
    </row>
    <row r="151" spans="1:13" x14ac:dyDescent="0.2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19153.75</v>
      </c>
      <c r="I151" s="7">
        <f t="shared" si="16"/>
        <v>41534.906875000001</v>
      </c>
      <c r="J151" s="7">
        <f t="shared" si="17"/>
        <v>16.263750000000002</v>
      </c>
      <c r="K151" s="3">
        <f t="shared" si="18"/>
        <v>3830.75</v>
      </c>
      <c r="L151" s="1">
        <f t="shared" si="19"/>
        <v>62302.360312500008</v>
      </c>
      <c r="M151" s="7">
        <f t="shared" si="20"/>
        <v>20767.453437500008</v>
      </c>
    </row>
    <row r="152" spans="1:13" x14ac:dyDescent="0.2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19673.75</v>
      </c>
      <c r="I152" s="7">
        <f t="shared" si="16"/>
        <v>31517.3475</v>
      </c>
      <c r="J152" s="7">
        <f t="shared" si="17"/>
        <v>12.015000000000001</v>
      </c>
      <c r="K152" s="3">
        <f t="shared" si="18"/>
        <v>3934.75</v>
      </c>
      <c r="L152" s="1">
        <f t="shared" si="19"/>
        <v>47276.021250000005</v>
      </c>
      <c r="M152" s="7">
        <f t="shared" si="20"/>
        <v>15758.673750000005</v>
      </c>
    </row>
    <row r="153" spans="1:13" x14ac:dyDescent="0.2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21530</v>
      </c>
      <c r="I153" s="7">
        <f t="shared" si="16"/>
        <v>40239.57</v>
      </c>
      <c r="J153" s="7">
        <f t="shared" si="17"/>
        <v>14.017499999999998</v>
      </c>
      <c r="K153" s="3">
        <f t="shared" si="18"/>
        <v>4306</v>
      </c>
      <c r="L153" s="1">
        <f t="shared" si="19"/>
        <v>60359.354999999996</v>
      </c>
      <c r="M153" s="7">
        <f t="shared" si="20"/>
        <v>20119.784999999996</v>
      </c>
    </row>
    <row r="154" spans="1:13" x14ac:dyDescent="0.2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21332.5</v>
      </c>
      <c r="I154" s="7">
        <f t="shared" si="16"/>
        <v>46259.526250000003</v>
      </c>
      <c r="J154" s="7">
        <f t="shared" si="17"/>
        <v>16.263750000000002</v>
      </c>
      <c r="K154" s="3">
        <f t="shared" si="18"/>
        <v>4266.5</v>
      </c>
      <c r="L154" s="1">
        <f t="shared" si="19"/>
        <v>69389.289375000008</v>
      </c>
      <c r="M154" s="7">
        <f t="shared" si="20"/>
        <v>23129.763125000005</v>
      </c>
    </row>
    <row r="155" spans="1:13" x14ac:dyDescent="0.2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24290</v>
      </c>
      <c r="I155" s="7">
        <f t="shared" si="16"/>
        <v>38912.58</v>
      </c>
      <c r="J155" s="7">
        <f t="shared" si="17"/>
        <v>12.015000000000001</v>
      </c>
      <c r="K155" s="3">
        <f t="shared" si="18"/>
        <v>4858</v>
      </c>
      <c r="L155" s="1">
        <f t="shared" si="19"/>
        <v>58368.87</v>
      </c>
      <c r="M155" s="7">
        <f t="shared" si="20"/>
        <v>19456.29</v>
      </c>
    </row>
    <row r="156" spans="1:13" x14ac:dyDescent="0.2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22718.75</v>
      </c>
      <c r="I156" s="7">
        <f t="shared" si="16"/>
        <v>42461.34375</v>
      </c>
      <c r="J156" s="7">
        <f t="shared" si="17"/>
        <v>14.017499999999998</v>
      </c>
      <c r="K156" s="3">
        <f t="shared" si="18"/>
        <v>4543.75</v>
      </c>
      <c r="L156" s="1">
        <f t="shared" si="19"/>
        <v>63692.015624999993</v>
      </c>
      <c r="M156" s="7">
        <f t="shared" si="20"/>
        <v>21230.671874999993</v>
      </c>
    </row>
    <row r="157" spans="1:13" x14ac:dyDescent="0.2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20762.5</v>
      </c>
      <c r="I157" s="7">
        <f t="shared" si="16"/>
        <v>45023.481249999997</v>
      </c>
      <c r="J157" s="7">
        <f t="shared" si="17"/>
        <v>16.263750000000002</v>
      </c>
      <c r="K157" s="3">
        <f t="shared" si="18"/>
        <v>4152.5</v>
      </c>
      <c r="L157" s="1">
        <f t="shared" si="19"/>
        <v>67535.221875000003</v>
      </c>
      <c r="M157" s="7">
        <f t="shared" si="20"/>
        <v>22511.740625000006</v>
      </c>
    </row>
    <row r="158" spans="1:13" x14ac:dyDescent="0.2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22378.75</v>
      </c>
      <c r="I158" s="7">
        <f t="shared" si="16"/>
        <v>184165.923125</v>
      </c>
      <c r="J158" s="7">
        <f t="shared" si="17"/>
        <v>61.721249999999998</v>
      </c>
      <c r="K158" s="3">
        <f t="shared" si="18"/>
        <v>4475.75</v>
      </c>
      <c r="L158" s="1">
        <f t="shared" si="19"/>
        <v>276248.88468750002</v>
      </c>
      <c r="M158" s="7">
        <f t="shared" si="20"/>
        <v>92082.961562500015</v>
      </c>
    </row>
    <row r="159" spans="1:13" x14ac:dyDescent="0.2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24387.5</v>
      </c>
      <c r="I159" s="7">
        <f t="shared" si="16"/>
        <v>200696.93124999999</v>
      </c>
      <c r="J159" s="7">
        <f t="shared" si="17"/>
        <v>61.721249999999998</v>
      </c>
      <c r="K159" s="3">
        <f t="shared" si="18"/>
        <v>4877.5</v>
      </c>
      <c r="L159" s="1">
        <f t="shared" si="19"/>
        <v>301045.39687499998</v>
      </c>
      <c r="M159" s="7">
        <f t="shared" si="20"/>
        <v>100348.46562499998</v>
      </c>
    </row>
    <row r="160" spans="1:13" x14ac:dyDescent="0.2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22841.25</v>
      </c>
      <c r="I160" s="7">
        <f t="shared" si="16"/>
        <v>187972.06687499999</v>
      </c>
      <c r="J160" s="7">
        <f t="shared" si="17"/>
        <v>61.721249999999998</v>
      </c>
      <c r="K160" s="3">
        <f t="shared" si="18"/>
        <v>4568.25</v>
      </c>
      <c r="L160" s="1">
        <f t="shared" si="19"/>
        <v>281958.10031249997</v>
      </c>
      <c r="M160" s="7">
        <f t="shared" si="20"/>
        <v>93986.03343749998</v>
      </c>
    </row>
    <row r="161" spans="1:13" x14ac:dyDescent="0.2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18833.75</v>
      </c>
      <c r="I161" s="7">
        <f t="shared" si="16"/>
        <v>154992.34562500002</v>
      </c>
      <c r="J161" s="7">
        <f t="shared" si="17"/>
        <v>61.721249999999998</v>
      </c>
      <c r="K161" s="3">
        <f t="shared" si="18"/>
        <v>3766.75</v>
      </c>
      <c r="L161" s="1">
        <f t="shared" si="19"/>
        <v>232488.5184375</v>
      </c>
      <c r="M161" s="7">
        <f t="shared" si="20"/>
        <v>77496.172812499979</v>
      </c>
    </row>
    <row r="162" spans="1:13" x14ac:dyDescent="0.2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23726.25</v>
      </c>
      <c r="I162" s="7">
        <f t="shared" si="16"/>
        <v>25944.654374999998</v>
      </c>
      <c r="J162" s="7">
        <f t="shared" si="17"/>
        <v>8.2012499999999999</v>
      </c>
      <c r="K162" s="3">
        <f t="shared" si="18"/>
        <v>4745.25</v>
      </c>
      <c r="L162" s="1">
        <f t="shared" si="19"/>
        <v>38916.981562499997</v>
      </c>
      <c r="M162" s="7">
        <f t="shared" si="20"/>
        <v>12972.327187499999</v>
      </c>
    </row>
    <row r="163" spans="1:13" x14ac:dyDescent="0.2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20923.75</v>
      </c>
      <c r="I163" s="7">
        <f t="shared" si="16"/>
        <v>22482.569374999999</v>
      </c>
      <c r="J163" s="7">
        <f t="shared" si="17"/>
        <v>8.0587499999999999</v>
      </c>
      <c r="K163" s="3">
        <f t="shared" si="18"/>
        <v>4184.75</v>
      </c>
      <c r="L163" s="1">
        <f t="shared" si="19"/>
        <v>33723.854062500002</v>
      </c>
      <c r="M163" s="7">
        <f t="shared" si="20"/>
        <v>11241.284687500003</v>
      </c>
    </row>
    <row r="164" spans="1:13" x14ac:dyDescent="0.2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19718.75</v>
      </c>
      <c r="I164" s="7">
        <f t="shared" si="16"/>
        <v>21562.453125</v>
      </c>
      <c r="J164" s="7">
        <f t="shared" si="17"/>
        <v>8.2012499999999999</v>
      </c>
      <c r="K164" s="3">
        <f t="shared" si="18"/>
        <v>3943.75</v>
      </c>
      <c r="L164" s="1">
        <f t="shared" si="19"/>
        <v>32343.6796875</v>
      </c>
      <c r="M164" s="7">
        <f t="shared" si="20"/>
        <v>10781.2265625</v>
      </c>
    </row>
    <row r="165" spans="1:13" x14ac:dyDescent="0.2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22470</v>
      </c>
      <c r="I165" s="7">
        <f t="shared" si="16"/>
        <v>32974.724999999999</v>
      </c>
      <c r="J165" s="7">
        <f t="shared" si="17"/>
        <v>11.006250000000001</v>
      </c>
      <c r="K165" s="3">
        <f t="shared" si="18"/>
        <v>4494</v>
      </c>
      <c r="L165" s="1">
        <f t="shared" si="19"/>
        <v>49462.087500000009</v>
      </c>
      <c r="M165" s="7">
        <f t="shared" si="20"/>
        <v>16487.36250000001</v>
      </c>
    </row>
    <row r="166" spans="1:13" x14ac:dyDescent="0.2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18932.5</v>
      </c>
      <c r="I166" s="7">
        <f t="shared" si="16"/>
        <v>29553.6325</v>
      </c>
      <c r="J166" s="7">
        <f t="shared" si="17"/>
        <v>11.7075</v>
      </c>
      <c r="K166" s="3">
        <f t="shared" si="18"/>
        <v>3786.5</v>
      </c>
      <c r="L166" s="1">
        <f t="shared" si="19"/>
        <v>44330.448749999996</v>
      </c>
      <c r="M166" s="7">
        <f t="shared" si="20"/>
        <v>14776.816249999996</v>
      </c>
    </row>
    <row r="167" spans="1:13" x14ac:dyDescent="0.2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21153.75</v>
      </c>
      <c r="I167" s="7">
        <f t="shared" si="16"/>
        <v>34998.879375000004</v>
      </c>
      <c r="J167" s="7">
        <f t="shared" si="17"/>
        <v>12.408750000000001</v>
      </c>
      <c r="K167" s="3">
        <f t="shared" si="18"/>
        <v>4230.75</v>
      </c>
      <c r="L167" s="1">
        <f t="shared" si="19"/>
        <v>52498.319062500006</v>
      </c>
      <c r="M167" s="7">
        <f t="shared" si="20"/>
        <v>17499.439687500002</v>
      </c>
    </row>
    <row r="168" spans="1:13" x14ac:dyDescent="0.2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24161.25</v>
      </c>
      <c r="I168" s="7">
        <f t="shared" si="16"/>
        <v>33874.072499999995</v>
      </c>
      <c r="J168" s="7">
        <f t="shared" si="17"/>
        <v>10.515000000000001</v>
      </c>
      <c r="K168" s="3">
        <f t="shared" si="18"/>
        <v>4832.25</v>
      </c>
      <c r="L168" s="1">
        <f t="shared" si="19"/>
        <v>50811.108749999999</v>
      </c>
      <c r="M168" s="7">
        <f t="shared" si="20"/>
        <v>16937.036250000005</v>
      </c>
    </row>
    <row r="169" spans="1:13" x14ac:dyDescent="0.2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24047.5</v>
      </c>
      <c r="I169" s="7">
        <f t="shared" si="16"/>
        <v>35289.706250000003</v>
      </c>
      <c r="J169" s="7">
        <f t="shared" si="17"/>
        <v>11.006250000000001</v>
      </c>
      <c r="K169" s="3">
        <f t="shared" si="18"/>
        <v>4809.5</v>
      </c>
      <c r="L169" s="1">
        <f t="shared" si="19"/>
        <v>52934.559375000004</v>
      </c>
      <c r="M169" s="7">
        <f t="shared" si="20"/>
        <v>17644.853125000001</v>
      </c>
    </row>
    <row r="170" spans="1:13" x14ac:dyDescent="0.2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24466.25</v>
      </c>
      <c r="I170" s="7">
        <f t="shared" si="16"/>
        <v>39378.429375</v>
      </c>
      <c r="J170" s="7">
        <f t="shared" si="17"/>
        <v>12.071249999999999</v>
      </c>
      <c r="K170" s="3">
        <f t="shared" si="18"/>
        <v>4893.25</v>
      </c>
      <c r="L170" s="1">
        <f t="shared" si="19"/>
        <v>59067.644062499996</v>
      </c>
      <c r="M170" s="7">
        <f t="shared" si="20"/>
        <v>19689.214687499996</v>
      </c>
    </row>
    <row r="171" spans="1:13" x14ac:dyDescent="0.2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19701.25</v>
      </c>
      <c r="I171" s="7">
        <f t="shared" si="16"/>
        <v>30379.327499999999</v>
      </c>
      <c r="J171" s="7">
        <f t="shared" si="17"/>
        <v>11.565</v>
      </c>
      <c r="K171" s="3">
        <f t="shared" si="18"/>
        <v>3940.25</v>
      </c>
      <c r="L171" s="1">
        <f t="shared" si="19"/>
        <v>45568.991249999999</v>
      </c>
      <c r="M171" s="7">
        <f t="shared" si="20"/>
        <v>15189.66375</v>
      </c>
    </row>
    <row r="172" spans="1:13" x14ac:dyDescent="0.2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24507.5</v>
      </c>
      <c r="I172" s="7">
        <f t="shared" si="16"/>
        <v>46539.7425</v>
      </c>
      <c r="J172" s="7">
        <f t="shared" si="17"/>
        <v>14.242500000000001</v>
      </c>
      <c r="K172" s="3">
        <f t="shared" si="18"/>
        <v>4901.5</v>
      </c>
      <c r="L172" s="1">
        <f t="shared" si="19"/>
        <v>69809.613750000004</v>
      </c>
      <c r="M172" s="7">
        <f t="shared" si="20"/>
        <v>23269.871250000004</v>
      </c>
    </row>
    <row r="173" spans="1:13" x14ac:dyDescent="0.2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22763.75</v>
      </c>
      <c r="I173" s="7">
        <f t="shared" si="16"/>
        <v>54143.579375000001</v>
      </c>
      <c r="J173" s="7">
        <f t="shared" si="17"/>
        <v>17.838750000000001</v>
      </c>
      <c r="K173" s="3">
        <f t="shared" si="18"/>
        <v>4552.75</v>
      </c>
      <c r="L173" s="1">
        <f t="shared" si="19"/>
        <v>81215.369062500002</v>
      </c>
      <c r="M173" s="7">
        <f t="shared" si="20"/>
        <v>27071.789687500001</v>
      </c>
    </row>
    <row r="174" spans="1:13" x14ac:dyDescent="0.2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20695</v>
      </c>
      <c r="I174" s="7">
        <f t="shared" si="16"/>
        <v>57904.61</v>
      </c>
      <c r="J174" s="7">
        <f t="shared" si="17"/>
        <v>20.984999999999999</v>
      </c>
      <c r="K174" s="3">
        <f t="shared" si="18"/>
        <v>4139</v>
      </c>
      <c r="L174" s="1">
        <f t="shared" si="19"/>
        <v>86856.914999999994</v>
      </c>
      <c r="M174" s="7">
        <f t="shared" si="20"/>
        <v>28952.304999999993</v>
      </c>
    </row>
    <row r="175" spans="1:13" x14ac:dyDescent="0.2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23625</v>
      </c>
      <c r="I175" s="7">
        <f t="shared" si="16"/>
        <v>44863.875</v>
      </c>
      <c r="J175" s="7">
        <f t="shared" si="17"/>
        <v>14.242500000000001</v>
      </c>
      <c r="K175" s="3">
        <f t="shared" si="18"/>
        <v>4725</v>
      </c>
      <c r="L175" s="1">
        <f t="shared" si="19"/>
        <v>67295.8125</v>
      </c>
      <c r="M175" s="7">
        <f t="shared" si="20"/>
        <v>22431.9375</v>
      </c>
    </row>
    <row r="176" spans="1:13" x14ac:dyDescent="0.2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21541.25</v>
      </c>
      <c r="I176" s="7">
        <f t="shared" si="16"/>
        <v>51235.863125000003</v>
      </c>
      <c r="J176" s="7">
        <f t="shared" si="17"/>
        <v>17.838750000000001</v>
      </c>
      <c r="K176" s="3">
        <f t="shared" si="18"/>
        <v>4308.25</v>
      </c>
      <c r="L176" s="1">
        <f t="shared" si="19"/>
        <v>76853.794687500005</v>
      </c>
      <c r="M176" s="7">
        <f t="shared" si="20"/>
        <v>25617.931562500002</v>
      </c>
    </row>
    <row r="177" spans="1:13" x14ac:dyDescent="0.2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24297.5</v>
      </c>
      <c r="I177" s="7">
        <f t="shared" si="16"/>
        <v>67984.404999999999</v>
      </c>
      <c r="J177" s="7">
        <f t="shared" si="17"/>
        <v>20.984999999999999</v>
      </c>
      <c r="K177" s="3">
        <f t="shared" si="18"/>
        <v>4859.5</v>
      </c>
      <c r="L177" s="1">
        <f t="shared" si="19"/>
        <v>101976.6075</v>
      </c>
      <c r="M177" s="7">
        <f t="shared" si="20"/>
        <v>33992.202499999999</v>
      </c>
    </row>
    <row r="178" spans="1:13" x14ac:dyDescent="0.2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24618.75</v>
      </c>
      <c r="I178" s="7">
        <f t="shared" si="16"/>
        <v>68883.262500000012</v>
      </c>
      <c r="J178" s="7">
        <f t="shared" si="17"/>
        <v>20.984999999999999</v>
      </c>
      <c r="K178" s="3">
        <f t="shared" si="18"/>
        <v>4923.75</v>
      </c>
      <c r="L178" s="1">
        <f t="shared" si="19"/>
        <v>103324.89375</v>
      </c>
      <c r="M178" s="7">
        <f t="shared" si="20"/>
        <v>34441.631249999991</v>
      </c>
    </row>
    <row r="179" spans="1:13" x14ac:dyDescent="0.2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23700</v>
      </c>
      <c r="I179" s="7">
        <f t="shared" si="16"/>
        <v>259965.3</v>
      </c>
      <c r="J179" s="7">
        <f t="shared" si="17"/>
        <v>82.267499999999998</v>
      </c>
      <c r="K179" s="3">
        <f t="shared" si="18"/>
        <v>4740</v>
      </c>
      <c r="L179" s="1">
        <f t="shared" si="19"/>
        <v>389947.95</v>
      </c>
      <c r="M179" s="7">
        <f t="shared" si="20"/>
        <v>129982.65000000002</v>
      </c>
    </row>
    <row r="180" spans="1:13" x14ac:dyDescent="0.2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21227.5</v>
      </c>
      <c r="I180" s="7">
        <f t="shared" si="16"/>
        <v>174691.71124999999</v>
      </c>
      <c r="J180" s="7">
        <f t="shared" si="17"/>
        <v>61.721249999999998</v>
      </c>
      <c r="K180" s="3">
        <f t="shared" si="18"/>
        <v>4245.5</v>
      </c>
      <c r="L180" s="1">
        <f t="shared" si="19"/>
        <v>262037.56687499999</v>
      </c>
      <c r="M180" s="7">
        <f t="shared" si="20"/>
        <v>87345.855624999997</v>
      </c>
    </row>
    <row r="181" spans="1:13" x14ac:dyDescent="0.2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22140</v>
      </c>
      <c r="I181" s="7">
        <f t="shared" si="16"/>
        <v>67106.34</v>
      </c>
      <c r="J181" s="7">
        <f t="shared" si="17"/>
        <v>22.732499999999998</v>
      </c>
      <c r="K181" s="3">
        <f t="shared" si="18"/>
        <v>4428</v>
      </c>
      <c r="L181" s="1">
        <f t="shared" si="19"/>
        <v>100659.51</v>
      </c>
      <c r="M181" s="7">
        <f t="shared" si="20"/>
        <v>33553.17</v>
      </c>
    </row>
    <row r="182" spans="1:13" x14ac:dyDescent="0.2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21440</v>
      </c>
      <c r="I182" s="7">
        <f t="shared" si="16"/>
        <v>43373.120000000003</v>
      </c>
      <c r="J182" s="7">
        <f t="shared" si="17"/>
        <v>15.172499999999999</v>
      </c>
      <c r="K182" s="3">
        <f t="shared" si="18"/>
        <v>4288</v>
      </c>
      <c r="L182" s="1">
        <f t="shared" si="19"/>
        <v>65059.68</v>
      </c>
      <c r="M182" s="7">
        <f t="shared" si="20"/>
        <v>21686.559999999998</v>
      </c>
    </row>
    <row r="183" spans="1:13" x14ac:dyDescent="0.2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24056.25</v>
      </c>
      <c r="I183" s="7">
        <f t="shared" si="16"/>
        <v>72962.606249999997</v>
      </c>
      <c r="J183" s="7">
        <f t="shared" si="17"/>
        <v>22.747499999999999</v>
      </c>
      <c r="K183" s="3">
        <f t="shared" si="18"/>
        <v>4811.25</v>
      </c>
      <c r="L183" s="1">
        <f t="shared" si="19"/>
        <v>109443.90937499999</v>
      </c>
      <c r="M183" s="7">
        <f t="shared" si="20"/>
        <v>36481.303124999991</v>
      </c>
    </row>
    <row r="184" spans="1:13" x14ac:dyDescent="0.2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21995</v>
      </c>
      <c r="I184" s="7">
        <f t="shared" si="16"/>
        <v>74002.177499999991</v>
      </c>
      <c r="J184" s="7">
        <f t="shared" si="17"/>
        <v>25.233749999999997</v>
      </c>
      <c r="K184" s="3">
        <f t="shared" si="18"/>
        <v>4399</v>
      </c>
      <c r="L184" s="1">
        <f t="shared" si="19"/>
        <v>111003.26624999999</v>
      </c>
      <c r="M184" s="7">
        <f t="shared" si="20"/>
        <v>37001.088749999995</v>
      </c>
    </row>
    <row r="185" spans="1:13" x14ac:dyDescent="0.2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22568.75</v>
      </c>
      <c r="I185" s="7">
        <f t="shared" si="16"/>
        <v>32713.403125000001</v>
      </c>
      <c r="J185" s="7">
        <f t="shared" si="17"/>
        <v>10.87125</v>
      </c>
      <c r="K185" s="3">
        <f t="shared" si="18"/>
        <v>4513.75</v>
      </c>
      <c r="L185" s="1">
        <f t="shared" si="19"/>
        <v>49070.104687500003</v>
      </c>
      <c r="M185" s="7">
        <f t="shared" si="20"/>
        <v>16356.701562500002</v>
      </c>
    </row>
    <row r="186" spans="1:13" x14ac:dyDescent="0.2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21816.25</v>
      </c>
      <c r="I186" s="7">
        <f t="shared" si="16"/>
        <v>845543.30937499995</v>
      </c>
      <c r="J186" s="7">
        <f t="shared" si="17"/>
        <v>290.68124999999998</v>
      </c>
      <c r="K186" s="3">
        <f t="shared" si="18"/>
        <v>4363.25</v>
      </c>
      <c r="L186" s="1">
        <f t="shared" si="19"/>
        <v>1268314.9640624998</v>
      </c>
      <c r="M186" s="7">
        <f t="shared" si="20"/>
        <v>422771.65468749986</v>
      </c>
    </row>
    <row r="187" spans="1:13" x14ac:dyDescent="0.2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21943.75</v>
      </c>
      <c r="I187" s="7">
        <f t="shared" si="16"/>
        <v>1647909.79375</v>
      </c>
      <c r="J187" s="7">
        <f t="shared" si="17"/>
        <v>563.22749999999996</v>
      </c>
      <c r="K187" s="3">
        <f t="shared" si="18"/>
        <v>4388.75</v>
      </c>
      <c r="L187" s="1">
        <f t="shared" si="19"/>
        <v>2471864.6906249998</v>
      </c>
      <c r="M187" s="7">
        <f t="shared" si="20"/>
        <v>823954.89687499986</v>
      </c>
    </row>
    <row r="188" spans="1:13" x14ac:dyDescent="0.2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24583.75</v>
      </c>
      <c r="I188" s="7">
        <f t="shared" si="16"/>
        <v>1846165.87375</v>
      </c>
      <c r="J188" s="7">
        <f t="shared" si="17"/>
        <v>563.22749999999996</v>
      </c>
      <c r="K188" s="3">
        <f t="shared" si="18"/>
        <v>4916.75</v>
      </c>
      <c r="L188" s="1">
        <f t="shared" si="19"/>
        <v>2769248.8106249999</v>
      </c>
      <c r="M188" s="7">
        <f t="shared" si="20"/>
        <v>923082.9368749999</v>
      </c>
    </row>
    <row r="189" spans="1:13" x14ac:dyDescent="0.2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23236.25</v>
      </c>
      <c r="I189" s="7">
        <f t="shared" si="16"/>
        <v>1744972.66625</v>
      </c>
      <c r="J189" s="7">
        <f t="shared" si="17"/>
        <v>563.22749999999996</v>
      </c>
      <c r="K189" s="3">
        <f t="shared" si="18"/>
        <v>4647.25</v>
      </c>
      <c r="L189" s="1">
        <f t="shared" si="19"/>
        <v>2617458.9993749997</v>
      </c>
      <c r="M189" s="7">
        <f t="shared" si="20"/>
        <v>872486.33312499966</v>
      </c>
    </row>
    <row r="190" spans="1:13" x14ac:dyDescent="0.2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22843.75</v>
      </c>
      <c r="I190" s="7">
        <f t="shared" si="16"/>
        <v>1715497.09375</v>
      </c>
      <c r="J190" s="7">
        <f t="shared" si="17"/>
        <v>563.22749999999996</v>
      </c>
      <c r="K190" s="3">
        <f t="shared" si="18"/>
        <v>4568.75</v>
      </c>
      <c r="L190" s="1">
        <f t="shared" si="19"/>
        <v>2573245.640625</v>
      </c>
      <c r="M190" s="7">
        <f t="shared" si="20"/>
        <v>857748.546875</v>
      </c>
    </row>
    <row r="191" spans="1:13" x14ac:dyDescent="0.2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24138.75</v>
      </c>
      <c r="I191" s="7">
        <f t="shared" si="16"/>
        <v>581067.99</v>
      </c>
      <c r="J191" s="7">
        <f t="shared" si="17"/>
        <v>180.54</v>
      </c>
      <c r="K191" s="3">
        <f t="shared" si="18"/>
        <v>4827.75</v>
      </c>
      <c r="L191" s="1">
        <f t="shared" si="19"/>
        <v>871601.98499999999</v>
      </c>
      <c r="M191" s="7">
        <f t="shared" si="20"/>
        <v>290533.995</v>
      </c>
    </row>
    <row r="192" spans="1:13" x14ac:dyDescent="0.2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22722.5</v>
      </c>
      <c r="I192" s="7">
        <f t="shared" si="16"/>
        <v>546976.02</v>
      </c>
      <c r="J192" s="7">
        <f t="shared" si="17"/>
        <v>180.54</v>
      </c>
      <c r="K192" s="3">
        <f t="shared" si="18"/>
        <v>4544.5</v>
      </c>
      <c r="L192" s="1">
        <f t="shared" si="19"/>
        <v>820464.02999999991</v>
      </c>
      <c r="M192" s="7">
        <f t="shared" si="20"/>
        <v>273488.00999999989</v>
      </c>
    </row>
    <row r="193" spans="1:17" x14ac:dyDescent="0.2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23123.75</v>
      </c>
      <c r="I193" s="7">
        <f t="shared" si="16"/>
        <v>556634.91</v>
      </c>
      <c r="J193" s="7">
        <f t="shared" si="17"/>
        <v>180.54</v>
      </c>
      <c r="K193" s="3">
        <f t="shared" si="18"/>
        <v>4624.75</v>
      </c>
      <c r="L193" s="1">
        <f t="shared" si="19"/>
        <v>834952.36499999999</v>
      </c>
      <c r="M193" s="7">
        <f t="shared" si="20"/>
        <v>278317.45499999996</v>
      </c>
    </row>
    <row r="194" spans="1:17" x14ac:dyDescent="0.2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22898.75</v>
      </c>
      <c r="I194" s="7">
        <f t="shared" si="16"/>
        <v>503520.61374999996</v>
      </c>
      <c r="J194" s="7">
        <f t="shared" si="17"/>
        <v>164.91749999999999</v>
      </c>
      <c r="K194" s="3">
        <f t="shared" si="18"/>
        <v>4579.75</v>
      </c>
      <c r="L194" s="1">
        <f t="shared" si="19"/>
        <v>755280.92062499991</v>
      </c>
      <c r="M194" s="7">
        <f t="shared" si="20"/>
        <v>251760.30687499995</v>
      </c>
      <c r="Q194" s="4"/>
    </row>
    <row r="195" spans="1:17" x14ac:dyDescent="0.2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23846.25</v>
      </c>
      <c r="I195" s="7">
        <f t="shared" si="16"/>
        <v>524355.19124999992</v>
      </c>
      <c r="J195" s="7">
        <f t="shared" si="17"/>
        <v>164.91749999999999</v>
      </c>
      <c r="K195" s="3">
        <f t="shared" si="18"/>
        <v>4769.25</v>
      </c>
      <c r="L195" s="1">
        <f t="shared" si="19"/>
        <v>786532.78687499999</v>
      </c>
      <c r="M195" s="7">
        <f t="shared" si="20"/>
        <v>262177.59562500007</v>
      </c>
    </row>
    <row r="196" spans="1:17" x14ac:dyDescent="0.2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19226.25</v>
      </c>
      <c r="I196" s="7">
        <f t="shared" si="16"/>
        <v>422766.01124999998</v>
      </c>
      <c r="J196" s="7">
        <f t="shared" si="17"/>
        <v>164.91749999999999</v>
      </c>
      <c r="K196" s="3">
        <f t="shared" si="18"/>
        <v>3845.25</v>
      </c>
      <c r="L196" s="1">
        <f t="shared" si="19"/>
        <v>634149.01687499997</v>
      </c>
      <c r="M196" s="7">
        <f t="shared" si="20"/>
        <v>211383.00562499999</v>
      </c>
    </row>
    <row r="197" spans="1:17" x14ac:dyDescent="0.2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>
        <f t="shared" ref="G197:G200" si="21">E197*F197</f>
        <v>523544.36874999997</v>
      </c>
      <c r="H197" s="7">
        <f t="shared" ref="H197:H200" si="22">F197*$P$1</f>
        <v>24943.75</v>
      </c>
      <c r="I197" s="7">
        <f t="shared" ref="I197:I200" si="23">G197+H197</f>
        <v>548488.11874999991</v>
      </c>
      <c r="J197" s="7">
        <f t="shared" ref="J197:J200" si="24">(E197+$P$1)*1.5</f>
        <v>164.91749999999999</v>
      </c>
      <c r="K197" s="3">
        <f t="shared" ref="K197:K200" si="25">F197</f>
        <v>4988.75</v>
      </c>
      <c r="L197" s="1">
        <f t="shared" ref="L197:L200" si="26">K197*J197</f>
        <v>822732.17812499998</v>
      </c>
      <c r="M197" s="7">
        <f t="shared" ref="M197:M200" si="27">L197-I197</f>
        <v>274244.05937500007</v>
      </c>
    </row>
    <row r="198" spans="1:17" x14ac:dyDescent="0.2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18916.25</v>
      </c>
      <c r="I198" s="7">
        <f t="shared" si="23"/>
        <v>41587.375625000001</v>
      </c>
      <c r="J198" s="7">
        <f t="shared" si="24"/>
        <v>16.48875</v>
      </c>
      <c r="K198" s="3">
        <f t="shared" si="25"/>
        <v>3783.25</v>
      </c>
      <c r="L198" s="1">
        <f t="shared" si="26"/>
        <v>62381.063437500001</v>
      </c>
      <c r="M198" s="7">
        <f t="shared" si="27"/>
        <v>20793.6878125</v>
      </c>
    </row>
    <row r="199" spans="1:17" x14ac:dyDescent="0.2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23588.75</v>
      </c>
      <c r="I199" s="7">
        <f t="shared" si="23"/>
        <v>76604.465625000012</v>
      </c>
      <c r="J199" s="7">
        <f t="shared" si="24"/>
        <v>24.356250000000003</v>
      </c>
      <c r="K199" s="3">
        <f t="shared" si="25"/>
        <v>4717.75</v>
      </c>
      <c r="L199" s="1">
        <f t="shared" si="26"/>
        <v>114906.69843750002</v>
      </c>
      <c r="M199" s="7">
        <f t="shared" si="27"/>
        <v>38302.232812500006</v>
      </c>
    </row>
    <row r="200" spans="1:17" x14ac:dyDescent="0.2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23832.5</v>
      </c>
      <c r="I200" s="7">
        <f t="shared" si="23"/>
        <v>88108.752500000002</v>
      </c>
      <c r="J200" s="7">
        <f t="shared" si="24"/>
        <v>27.727499999999999</v>
      </c>
      <c r="K200" s="3">
        <f t="shared" si="25"/>
        <v>4766.5</v>
      </c>
      <c r="L200" s="1">
        <f t="shared" si="26"/>
        <v>132163.12875</v>
      </c>
      <c r="M200" s="7">
        <f t="shared" si="27"/>
        <v>44054.376250000001</v>
      </c>
    </row>
    <row r="201" spans="1:17" ht="15" thickBot="1" x14ac:dyDescent="0.25">
      <c r="G201" s="5">
        <f t="shared" ref="G201:M201" si="28">SUM(G4:G200)</f>
        <v>70764990.998125017</v>
      </c>
      <c r="H201" s="5">
        <f t="shared" si="28"/>
        <v>4301328.75</v>
      </c>
      <c r="I201" s="5">
        <f t="shared" si="28"/>
        <v>75066319.748125017</v>
      </c>
      <c r="J201" s="5">
        <f t="shared" si="28"/>
        <v>25919.879999999972</v>
      </c>
      <c r="K201" s="8">
        <f t="shared" si="28"/>
        <v>860265.75</v>
      </c>
      <c r="L201" s="5">
        <f t="shared" si="28"/>
        <v>112599479.62218751</v>
      </c>
      <c r="M201" s="5">
        <f t="shared" si="28"/>
        <v>37533159.874062501</v>
      </c>
    </row>
    <row r="202" spans="1:17" ht="15" thickTop="1" x14ac:dyDescent="0.2"/>
  </sheetData>
  <mergeCells count="13">
    <mergeCell ref="M1:M3"/>
    <mergeCell ref="D1:D3"/>
    <mergeCell ref="E1:E3"/>
    <mergeCell ref="F1:F3"/>
    <mergeCell ref="G1:G3"/>
    <mergeCell ref="H1:H3"/>
    <mergeCell ref="I1:I3"/>
    <mergeCell ref="J1:J3"/>
    <mergeCell ref="A1:A3"/>
    <mergeCell ref="B1:B3"/>
    <mergeCell ref="C1:C3"/>
    <mergeCell ref="K1:K3"/>
    <mergeCell ref="L1:L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40969E-CDB0-426E-91F0-A655AB06E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4C417B-C4D3-4673-B18D-F0AA474BC7E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538C5C99-AEA9-45C8-8A4A-73C68FBF28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2024-09-19T07:23:09Z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